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SOLIDADO" sheetId="1" state="visible" r:id="rId3"/>
    <sheet name="MAESTRO EMPRESAS" sheetId="2" state="visible" r:id="rId4"/>
  </sheets>
  <definedNames>
    <definedName function="false" hidden="true" localSheetId="0" name="_xlnm._FilterDatabase" vbProcedure="false">CONSOLIDADO!$A$5:$Q$5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<sst xmlns="http://schemas.openxmlformats.org/spreadsheetml/2006/main" count="89" uniqueCount="64">
  <si>
    <t xml:space="preserve">PLANTABAL S.A. / 3A CORE MATERIALS
CONSOLIDADO DE CONTRATISTAS — Control de Acceso y Habilitaciones</t>
  </si>
  <si>
    <t xml:space="preserve">Responsable: Héctor Clavijo  |  Planta: Quevedo y Santo Domingo  |  Actualizado: 28/10/2026</t>
  </si>
  <si>
    <t xml:space="preserve">▶  REQUISITOS DE ACCESO A PLANTA</t>
  </si>
  <si>
    <t xml:space="preserve">▶  HABILITACIONES POR TIPO DE TRABAJO</t>
  </si>
  <si>
    <t xml:space="preserve">🟢 Vigente / ACCESO PERMITIDO    🔴 Vencido / SIN ACCESO    🟡 Vence en &lt; 30 días    | IESS: ingresar fecha del mes de la planilla (aviso de entrada → poner mes siguiente)</t>
  </si>
  <si>
    <t xml:space="preserve">N°</t>
  </si>
  <si>
    <t xml:space="preserve">Apellido</t>
  </si>
  <si>
    <t xml:space="preserve">Nombres</t>
  </si>
  <si>
    <t xml:space="preserve">Empresa / Compañía</t>
  </si>
  <si>
    <t xml:space="preserve">N° Cédula</t>
  </si>
  <si>
    <t xml:space="preserve">Inducción SHE
(Caducidad)</t>
  </si>
  <si>
    <t xml:space="preserve">Afiliación IESS
(Mes planilla)</t>
  </si>
  <si>
    <t xml:space="preserve">Cert. Médico Laboral
(Caducidad)</t>
  </si>
  <si>
    <t xml:space="preserve">Aptitud de Ingreso</t>
  </si>
  <si>
    <t xml:space="preserve">¿ACCESO
A PLANTA?</t>
  </si>
  <si>
    <t xml:space="preserve">Cert. Prevención
Riesgos Eléctricos
(Caducidad)</t>
  </si>
  <si>
    <t xml:space="preserve">Cert. Trabajos
en Altura
(Caducidad)</t>
  </si>
  <si>
    <t xml:space="preserve">Cert. Espacios
Confinados
(Caducidad)</t>
  </si>
  <si>
    <t xml:space="preserve">Cert. Trabajos
en Caliente
(Caducidad)</t>
  </si>
  <si>
    <t xml:space="preserve">Cert. Prevención
de Riesgos
(Caducidad)</t>
  </si>
  <si>
    <t xml:space="preserve">Curso Primeros
Auxilios
(Fecha emisión)</t>
  </si>
  <si>
    <t xml:space="preserve">Observaciones</t>
  </si>
  <si>
    <t xml:space="preserve">PLANTABAL S.A. — Lista Maestra de Empresas Contratistas</t>
  </si>
  <si>
    <t xml:space="preserve">Nombre de la Empresa / Contratista</t>
  </si>
  <si>
    <t xml:space="preserve">Encargado / Representante</t>
  </si>
  <si>
    <t xml:space="preserve">Estado</t>
  </si>
  <si>
    <t xml:space="preserve">FRANKMETAL S.A.S.</t>
  </si>
  <si>
    <t xml:space="preserve">Francisco Macías</t>
  </si>
  <si>
    <t xml:space="preserve">Activa</t>
  </si>
  <si>
    <t xml:space="preserve">Industrias Don Quiño</t>
  </si>
  <si>
    <t xml:space="preserve">Dailer Quiñonez</t>
  </si>
  <si>
    <t xml:space="preserve">Taller industrial Don Remigio</t>
  </si>
  <si>
    <t xml:space="preserve">Remigio Chalacama</t>
  </si>
  <si>
    <t xml:space="preserve">MP - Servicios profesionales</t>
  </si>
  <si>
    <t xml:space="preserve">Michael Pallo</t>
  </si>
  <si>
    <t xml:space="preserve">Jonny Lam</t>
  </si>
  <si>
    <t xml:space="preserve">Víctor Volibar Andrade Calderón</t>
  </si>
  <si>
    <t xml:space="preserve">La Llave</t>
  </si>
  <si>
    <t xml:space="preserve">Jorge Escobar</t>
  </si>
  <si>
    <t xml:space="preserve">Firewall</t>
  </si>
  <si>
    <t xml:space="preserve">Wilson Pastuisaca</t>
  </si>
  <si>
    <t xml:space="preserve">Taller industrial Asimbaya</t>
  </si>
  <si>
    <t xml:space="preserve">José Asimbaya</t>
  </si>
  <si>
    <t xml:space="preserve">Taller industrial Chávez</t>
  </si>
  <si>
    <t xml:space="preserve">Cristian Chávez</t>
  </si>
  <si>
    <t xml:space="preserve">Proinseg</t>
  </si>
  <si>
    <t xml:space="preserve">Juan Barrionuevo</t>
  </si>
  <si>
    <t xml:space="preserve">Frío Aycart</t>
  </si>
  <si>
    <t xml:space="preserve">Yordan Aycart</t>
  </si>
  <si>
    <t xml:space="preserve">Sosa</t>
  </si>
  <si>
    <t xml:space="preserve">Carlos Sosa</t>
  </si>
  <si>
    <t xml:space="preserve">Meta technologie</t>
  </si>
  <si>
    <t xml:space="preserve">Ricardo Burbano</t>
  </si>
  <si>
    <t xml:space="preserve">Wilmer Salazar</t>
  </si>
  <si>
    <t xml:space="preserve">Oselecsa</t>
  </si>
  <si>
    <t xml:space="preserve">ISEP</t>
  </si>
  <si>
    <t xml:space="preserve">Emiliano Crespo</t>
  </si>
  <si>
    <t xml:space="preserve">JC</t>
  </si>
  <si>
    <t xml:space="preserve">Jonathan Cedeño</t>
  </si>
  <si>
    <t xml:space="preserve">Julio Cano</t>
  </si>
  <si>
    <t xml:space="preserve">ISMI</t>
  </si>
  <si>
    <t xml:space="preserve">Borys Jonathan Palma Tasinchano</t>
  </si>
  <si>
    <t xml:space="preserve">ASOSERLIMFESA</t>
  </si>
  <si>
    <t xml:space="preserve">Quishpe Calderón Edison Angel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</si>
</sst>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A3A6B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9"/>
      <color rgb="FF9E9E9E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2F2F2"/>
        <bgColor rgb="FFEBF5FB"/>
      </patternFill>
    </fill>
    <fill>
      <patternFill patternType="solid">
        <fgColor rgb="FF2E6DB4"/>
        <bgColor rgb="FF0066CC"/>
      </patternFill>
    </fill>
    <fill>
      <patternFill patternType="solid">
        <fgColor rgb="FF1A6B5A"/>
        <bgColor rgb="FF276221"/>
      </patternFill>
    </fill>
    <fill>
      <patternFill patternType="solid">
        <fgColor rgb="FFEBF5FB"/>
        <bgColor rgb="FFF2F2F2"/>
      </patternFill>
    </fill>
    <fill>
      <patternFill patternType="solid">
        <fgColor rgb="FFFFF9E6"/>
        <bgColor rgb="FFFFFFFF"/>
      </patternFill>
    </fill>
    <fill>
      <patternFill patternType="solid">
        <fgColor rgb="FFD6E4F7"/>
        <bgColor rgb="FFEBF5FB"/>
      </patternFill>
    </fill>
    <fill>
      <patternFill patternType="solid">
        <fgColor rgb="FF1A3A6B"/>
        <bgColor rgb="FF33339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>
        <color rgb="FF1A3A6B"/>
      </left>
      <right style="medium">
        <color rgb="FF1A3A6B"/>
      </right>
      <top style="medium">
        <color rgb="FF1A3A6B"/>
      </top>
      <bottom style="medium">
        <color rgb="FF1A3A6B"/>
      </bottom>
      <diagonal/>
    </border>
    <border diagonalUp="false" diagonalDown="false">
      <left style="medium">
        <color rgb="FF1A6B5A"/>
      </left>
      <right style="medium">
        <color rgb="FF1A6B5A"/>
      </right>
      <top style="medium">
        <color rgb="FF1A6B5A"/>
      </top>
      <bottom style="medium">
        <color rgb="FF1A6B5A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6D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A6B5A"/>
          <bgColor rgb="FF000000"/>
        </patternFill>
      </fill>
    </dxf>
    <dxf>
      <font>
        <name val="Arial"/>
        <charset val="1"/>
        <family val="0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color rgb="FF9C5700"/>
        <sz val="9"/>
      </font>
      <fill>
        <patternFill>
          <bgColor rgb="FFFFEB9C"/>
        </patternFill>
      </fill>
    </dxf>
    <dxf>
      <font>
        <name val="Arial"/>
        <charset val="1"/>
        <family val="0"/>
        <color rgb="FF276221"/>
        <sz val="9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1A6B5A"/>
      <rgbColor rgb="FFBFBFBF"/>
      <rgbColor rgb="FF808080"/>
      <rgbColor rgb="FF9999FF"/>
      <rgbColor rgb="FF993366"/>
      <rgbColor rgb="FFFFF9E6"/>
      <rgbColor rgb="FFEBF5FB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6DB4"/>
      <rgbColor rgb="FF33CCCC"/>
      <rgbColor rgb="FF99CC00"/>
      <rgbColor rgb="FFFFCC00"/>
      <rgbColor rgb="FFFF9900"/>
      <rgbColor rgb="FFFF6600"/>
      <rgbColor rgb="FF595959"/>
      <rgbColor rgb="FF9E9E9E"/>
      <rgbColor rgb="FF1A3A6B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1171080</xdr:colOff>
      <xdr:row>0</xdr:row>
      <xdr:rowOff>618840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1523520" cy="618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910080</xdr:colOff>
      <xdr:row>0</xdr:row>
      <xdr:rowOff>475920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1333080" cy="475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8"/>
    <col collapsed="false" customWidth="true" hidden="false" outlineLevel="0" max="4" min="4" style="0" width="30"/>
    <col collapsed="false" customWidth="true" hidden="false" outlineLevel="0" max="7" min="5" style="0" width="14"/>
    <col collapsed="false" customWidth="true" hidden="false" outlineLevel="0" max="8" min="8" style="0" width="15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5" min="13" style="0" width="15"/>
    <col collapsed="false" customWidth="true" hidden="false" outlineLevel="0" max="16" min="16" style="0" width="14"/>
    <col collapsed="false" customWidth="true" hidden="false" outlineLevel="0" max="17" min="17" style="0" width="24"/>
  </cols>
  <sheetData>
    <row r="1" customFormat="false" ht="75" hidden="false" customHeight="true" outlineLevel="0" collapsed="false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customFormat="false" ht="15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5" t="s">
        <v>3</v>
      </c>
      <c r="L3" s="5"/>
      <c r="M3" s="5"/>
      <c r="N3" s="5"/>
      <c r="O3" s="5"/>
      <c r="P3" s="5"/>
      <c r="Q3" s="5"/>
    </row>
    <row r="4" customFormat="false" ht="15" hidden="false" customHeight="true" outlineLevel="0" collapsed="false">
      <c r="A4" s="6" t="s">
        <v>4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customFormat="false" ht="55.5" hidden="false" customHeight="true" outlineLevel="0" collapsed="false">
      <c r="A5" s="7" t="s">
        <v>5</v>
      </c>
      <c r="B5" s="7" t="s">
        <v>6</v>
      </c>
      <c r="C5" s="7" t="s">
        <v>7</v>
      </c>
      <c r="D5" s="7" t="s">
        <v>8</v>
      </c>
      <c r="E5" s="7" t="s">
        <v>9</v>
      </c>
      <c r="F5" s="7" t="s">
        <v>10</v>
      </c>
      <c r="G5" s="7" t="s">
        <v>11</v>
      </c>
      <c r="H5" s="7" t="s">
        <v>12</v>
      </c>
      <c r="I5" s="7" t="s">
        <v>13</v>
      </c>
      <c r="J5" s="7" t="s">
        <v>14</v>
      </c>
      <c r="K5" s="8" t="s">
        <v>15</v>
      </c>
      <c r="L5" s="8" t="s">
        <v>16</v>
      </c>
      <c r="M5" s="8" t="s">
        <v>17</v>
      </c>
      <c r="N5" s="8" t="s">
        <v>18</v>
      </c>
      <c r="O5" s="8" t="s">
        <v>19</v>
      </c>
      <c r="P5" s="8" t="s">
        <v>20</v>
      </c>
      <c r="Q5" s="8" t="s">
        <v>21</v>
      </c>
    </row>
    <row r="6" customFormat="false" ht="19.5" hidden="false" customHeight="true" outlineLevel="0" collapsed="false">
      <c r="A6" s="9" t="n">
        <v>1</v>
      </c>
      <c r="B6" s="10"/>
      <c r="C6" s="10"/>
      <c r="D6" s="10"/>
      <c r="E6" s="10"/>
      <c r="F6" s="11"/>
      <c r="G6" s="11"/>
      <c r="H6" s="11"/>
      <c r="I6" s="12"/>
      <c r="J6" s="13" t="str">
        <f aca="true">IF(AND(F6&lt;&gt;"",ISNUMBER(F6),F6&gt;=TODAY(),G6&lt;&gt;"",ISNUMBER(G6),G6&gt;=DATE(YEAR(TODAY()),MONTH(TODAY())-1,1),H6&lt;&gt;"",ISNUMBER(H6),H6&gt;=TODAY(),I6="APTO"),"✔ ACCESO PERMITIDO","✘ SIN ACCESO")</f>
        <v>✘ SIN ACCESO</v>
      </c>
      <c r="K6" s="11"/>
      <c r="L6" s="11"/>
      <c r="M6" s="11"/>
      <c r="N6" s="11"/>
      <c r="O6" s="11"/>
      <c r="P6" s="11"/>
      <c r="Q6" s="10"/>
    </row>
    <row r="7" customFormat="false" ht="19.5" hidden="false" customHeight="true" outlineLevel="0" collapsed="false">
      <c r="A7" s="14" t="n">
        <v>2</v>
      </c>
      <c r="B7" s="10"/>
      <c r="C7" s="10"/>
      <c r="D7" s="10"/>
      <c r="E7" s="10"/>
      <c r="F7" s="11"/>
      <c r="G7" s="11"/>
      <c r="H7" s="11"/>
      <c r="I7" s="12"/>
      <c r="J7" s="15" t="str">
        <f aca="true">IF(AND(F7&lt;&gt;"",ISNUMBER(F7),F7&gt;=TODAY(),G7&lt;&gt;"",ISNUMBER(G7),G7&gt;=DATE(YEAR(TODAY()),MONTH(TODAY())-1,1),H7&lt;&gt;"",ISNUMBER(H7),H7&gt;=TODAY(),I7="APTO"),"✔ ACCESO PERMITIDO","✘ SIN ACCESO")</f>
        <v>✘ SIN ACCESO</v>
      </c>
      <c r="K7" s="11"/>
      <c r="L7" s="11"/>
      <c r="M7" s="11"/>
      <c r="N7" s="11"/>
      <c r="O7" s="11"/>
      <c r="P7" s="11"/>
      <c r="Q7" s="10"/>
    </row>
    <row r="8" customFormat="false" ht="19.5" hidden="false" customHeight="true" outlineLevel="0" collapsed="false">
      <c r="A8" s="9" t="n">
        <v>3</v>
      </c>
      <c r="B8" s="10"/>
      <c r="C8" s="10"/>
      <c r="D8" s="10"/>
      <c r="E8" s="10"/>
      <c r="F8" s="11"/>
      <c r="G8" s="11"/>
      <c r="H8" s="11"/>
      <c r="I8" s="12"/>
      <c r="J8" s="13" t="str">
        <f aca="true">IF(AND(F8&lt;&gt;"",ISNUMBER(F8),F8&gt;=TODAY(),G8&lt;&gt;"",ISNUMBER(G8),G8&gt;=DATE(YEAR(TODAY()),MONTH(TODAY())-1,1),H8&lt;&gt;"",ISNUMBER(H8),H8&gt;=TODAY(),I8="APTO"),"✔ ACCESO PERMITIDO","✘ SIN ACCESO")</f>
        <v>✘ SIN ACCESO</v>
      </c>
      <c r="K8" s="11"/>
      <c r="L8" s="11"/>
      <c r="M8" s="11"/>
      <c r="N8" s="11"/>
      <c r="O8" s="11"/>
      <c r="P8" s="11"/>
      <c r="Q8" s="10"/>
    </row>
    <row r="9" customFormat="false" ht="19.5" hidden="false" customHeight="true" outlineLevel="0" collapsed="false">
      <c r="A9" s="14" t="n">
        <v>4</v>
      </c>
      <c r="B9" s="10"/>
      <c r="C9" s="10"/>
      <c r="D9" s="10"/>
      <c r="E9" s="10"/>
      <c r="F9" s="11"/>
      <c r="G9" s="11"/>
      <c r="H9" s="11"/>
      <c r="I9" s="12"/>
      <c r="J9" s="15" t="str">
        <f aca="true">IF(AND(F9&lt;&gt;"",ISNUMBER(F9),F9&gt;=TODAY(),G9&lt;&gt;"",ISNUMBER(G9),G9&gt;=DATE(YEAR(TODAY()),MONTH(TODAY())-1,1),H9&lt;&gt;"",ISNUMBER(H9),H9&gt;=TODAY(),I9="APTO"),"✔ ACCESO PERMITIDO","✘ SIN ACCESO")</f>
        <v>✘ SIN ACCESO</v>
      </c>
      <c r="K9" s="11"/>
      <c r="L9" s="11"/>
      <c r="M9" s="11"/>
      <c r="N9" s="11"/>
      <c r="O9" s="11"/>
      <c r="P9" s="11"/>
      <c r="Q9" s="10"/>
    </row>
    <row r="10" customFormat="false" ht="19.5" hidden="false" customHeight="true" outlineLevel="0" collapsed="false">
      <c r="A10" s="9" t="n">
        <v>5</v>
      </c>
      <c r="B10" s="10"/>
      <c r="C10" s="10"/>
      <c r="D10" s="10"/>
      <c r="E10" s="10"/>
      <c r="F10" s="11"/>
      <c r="G10" s="11"/>
      <c r="H10" s="11"/>
      <c r="I10" s="12"/>
      <c r="J10" s="13" t="str">
        <f aca="true">IF(AND(F10&lt;&gt;"",ISNUMBER(F10),F10&gt;=TODAY(),G10&lt;&gt;"",ISNUMBER(G10),G10&gt;=DATE(YEAR(TODAY()),MONTH(TODAY())-1,1),H10&lt;&gt;"",ISNUMBER(H10),H10&gt;=TODAY(),I10="APTO"),"✔ ACCESO PERMITIDO","✘ SIN ACCESO")</f>
        <v>✘ SIN ACCESO</v>
      </c>
      <c r="K10" s="11"/>
      <c r="L10" s="11"/>
      <c r="M10" s="11"/>
      <c r="N10" s="11"/>
      <c r="O10" s="11"/>
      <c r="P10" s="11"/>
      <c r="Q10" s="10"/>
    </row>
    <row r="11" customFormat="false" ht="19.5" hidden="false" customHeight="true" outlineLevel="0" collapsed="false">
      <c r="A11" s="14" t="n">
        <v>6</v>
      </c>
      <c r="B11" s="10"/>
      <c r="C11" s="10"/>
      <c r="D11" s="10"/>
      <c r="E11" s="10"/>
      <c r="F11" s="11"/>
      <c r="G11" s="11"/>
      <c r="H11" s="11"/>
      <c r="I11" s="12"/>
      <c r="J11" s="15" t="str">
        <f aca="true">IF(AND(F11&lt;&gt;"",ISNUMBER(F11),F11&gt;=TODAY(),G11&lt;&gt;"",ISNUMBER(G11),G11&gt;=DATE(YEAR(TODAY()),MONTH(TODAY())-1,1),H11&lt;&gt;"",ISNUMBER(H11),H11&gt;=TODAY(),I11="APTO"),"✔ ACCESO PERMITIDO","✘ SIN ACCESO")</f>
        <v>✘ SIN ACCESO</v>
      </c>
      <c r="K11" s="11"/>
      <c r="L11" s="11"/>
      <c r="M11" s="11"/>
      <c r="N11" s="11"/>
      <c r="O11" s="11"/>
      <c r="P11" s="11"/>
      <c r="Q11" s="10"/>
    </row>
    <row r="12" customFormat="false" ht="19.5" hidden="false" customHeight="true" outlineLevel="0" collapsed="false">
      <c r="A12" s="9" t="n">
        <v>7</v>
      </c>
      <c r="B12" s="10"/>
      <c r="C12" s="10"/>
      <c r="D12" s="10"/>
      <c r="E12" s="10"/>
      <c r="F12" s="11"/>
      <c r="G12" s="11"/>
      <c r="H12" s="11"/>
      <c r="I12" s="12"/>
      <c r="J12" s="13" t="str">
        <f aca="true">IF(AND(F12&lt;&gt;"",ISNUMBER(F12),F12&gt;=TODAY(),G12&lt;&gt;"",ISNUMBER(G12),G12&gt;=DATE(YEAR(TODAY()),MONTH(TODAY())-1,1),H12&lt;&gt;"",ISNUMBER(H12),H12&gt;=TODAY(),I12="APTO"),"✔ ACCESO PERMITIDO","✘ SIN ACCESO")</f>
        <v>✘ SIN ACCESO</v>
      </c>
      <c r="K12" s="11"/>
      <c r="L12" s="11"/>
      <c r="M12" s="11"/>
      <c r="N12" s="11"/>
      <c r="O12" s="11"/>
      <c r="P12" s="11"/>
      <c r="Q12" s="10"/>
    </row>
    <row r="13" customFormat="false" ht="19.5" hidden="false" customHeight="true" outlineLevel="0" collapsed="false">
      <c r="A13" s="14" t="n">
        <v>8</v>
      </c>
      <c r="B13" s="10"/>
      <c r="C13" s="10"/>
      <c r="D13" s="10"/>
      <c r="E13" s="10"/>
      <c r="F13" s="11"/>
      <c r="G13" s="11"/>
      <c r="H13" s="11"/>
      <c r="I13" s="12"/>
      <c r="J13" s="15" t="str">
        <f aca="true">IF(AND(F13&lt;&gt;"",ISNUMBER(F13),F13&gt;=TODAY(),G13&lt;&gt;"",ISNUMBER(G13),G13&gt;=DATE(YEAR(TODAY()),MONTH(TODAY())-1,1),H13&lt;&gt;"",ISNUMBER(H13),H13&gt;=TODAY(),I13="APTO"),"✔ ACCESO PERMITIDO","✘ SIN ACCESO")</f>
        <v>✘ SIN ACCESO</v>
      </c>
      <c r="K13" s="11"/>
      <c r="L13" s="11"/>
      <c r="M13" s="11"/>
      <c r="N13" s="11"/>
      <c r="O13" s="11"/>
      <c r="P13" s="11"/>
      <c r="Q13" s="10"/>
    </row>
    <row r="14" customFormat="false" ht="19.5" hidden="false" customHeight="true" outlineLevel="0" collapsed="false">
      <c r="A14" s="9" t="n">
        <v>9</v>
      </c>
      <c r="B14" s="10"/>
      <c r="C14" s="10"/>
      <c r="D14" s="10"/>
      <c r="E14" s="10"/>
      <c r="F14" s="11"/>
      <c r="G14" s="11"/>
      <c r="H14" s="11"/>
      <c r="I14" s="12"/>
      <c r="J14" s="13" t="str">
        <f aca="true">IF(AND(F14&lt;&gt;"",ISNUMBER(F14),F14&gt;=TODAY(),G14&lt;&gt;"",ISNUMBER(G14),G14&gt;=DATE(YEAR(TODAY()),MONTH(TODAY())-1,1),H14&lt;&gt;"",ISNUMBER(H14),H14&gt;=TODAY(),I14="APTO"),"✔ ACCESO PERMITIDO","✘ SIN ACCESO")</f>
        <v>✘ SIN ACCESO</v>
      </c>
      <c r="K14" s="11"/>
      <c r="L14" s="11"/>
      <c r="M14" s="11"/>
      <c r="N14" s="11"/>
      <c r="O14" s="11"/>
      <c r="P14" s="11"/>
      <c r="Q14" s="10"/>
    </row>
    <row r="15" customFormat="false" ht="19.5" hidden="false" customHeight="true" outlineLevel="0" collapsed="false">
      <c r="A15" s="14" t="n">
        <v>10</v>
      </c>
      <c r="B15" s="10"/>
      <c r="C15" s="10"/>
      <c r="D15" s="10"/>
      <c r="E15" s="10"/>
      <c r="F15" s="11"/>
      <c r="G15" s="11"/>
      <c r="H15" s="11"/>
      <c r="I15" s="12"/>
      <c r="J15" s="15" t="str">
        <f aca="true">IF(AND(F15&lt;&gt;"",ISNUMBER(F15),F15&gt;=TODAY(),G15&lt;&gt;"",ISNUMBER(G15),G15&gt;=DATE(YEAR(TODAY()),MONTH(TODAY())-1,1),H15&lt;&gt;"",ISNUMBER(H15),H15&gt;=TODAY(),I15="APTO"),"✔ ACCESO PERMITIDO","✘ SIN ACCESO")</f>
        <v>✘ SIN ACCESO</v>
      </c>
      <c r="K15" s="11"/>
      <c r="L15" s="11"/>
      <c r="M15" s="11"/>
      <c r="N15" s="11"/>
      <c r="O15" s="11"/>
      <c r="P15" s="11"/>
      <c r="Q15" s="10"/>
    </row>
    <row r="16" customFormat="false" ht="19.5" hidden="false" customHeight="true" outlineLevel="0" collapsed="false">
      <c r="A16" s="9" t="n">
        <v>11</v>
      </c>
      <c r="B16" s="10"/>
      <c r="C16" s="10"/>
      <c r="D16" s="10"/>
      <c r="E16" s="10"/>
      <c r="F16" s="11"/>
      <c r="G16" s="11"/>
      <c r="H16" s="11"/>
      <c r="I16" s="12"/>
      <c r="J16" s="13" t="str">
        <f aca="true">IF(AND(F16&lt;&gt;"",ISNUMBER(F16),F16&gt;=TODAY(),G16&lt;&gt;"",ISNUMBER(G16),G16&gt;=DATE(YEAR(TODAY()),MONTH(TODAY())-1,1),H16&lt;&gt;"",ISNUMBER(H16),H16&gt;=TODAY(),I16="APTO"),"✔ ACCESO PERMITIDO","✘ SIN ACCESO")</f>
        <v>✘ SIN ACCESO</v>
      </c>
      <c r="K16" s="11"/>
      <c r="L16" s="11"/>
      <c r="M16" s="11"/>
      <c r="N16" s="11"/>
      <c r="O16" s="11"/>
      <c r="P16" s="11"/>
      <c r="Q16" s="10"/>
    </row>
    <row r="17" customFormat="false" ht="19.5" hidden="false" customHeight="true" outlineLevel="0" collapsed="false">
      <c r="A17" s="14" t="n">
        <v>12</v>
      </c>
      <c r="B17" s="10"/>
      <c r="C17" s="10"/>
      <c r="D17" s="10"/>
      <c r="E17" s="10"/>
      <c r="F17" s="11"/>
      <c r="G17" s="11"/>
      <c r="H17" s="11"/>
      <c r="I17" s="12"/>
      <c r="J17" s="15" t="str">
        <f aca="true">IF(AND(F17&lt;&gt;"",ISNUMBER(F17),F17&gt;=TODAY(),G17&lt;&gt;"",ISNUMBER(G17),G17&gt;=DATE(YEAR(TODAY()),MONTH(TODAY())-1,1),H17&lt;&gt;"",ISNUMBER(H17),H17&gt;=TODAY(),I17="APTO"),"✔ ACCESO PERMITIDO","✘ SIN ACCESO")</f>
        <v>✘ SIN ACCESO</v>
      </c>
      <c r="K17" s="11"/>
      <c r="L17" s="11"/>
      <c r="M17" s="11"/>
      <c r="N17" s="11"/>
      <c r="O17" s="11"/>
      <c r="P17" s="11"/>
      <c r="Q17" s="10"/>
    </row>
    <row r="18" customFormat="false" ht="19.5" hidden="false" customHeight="true" outlineLevel="0" collapsed="false">
      <c r="A18" s="9" t="n">
        <v>13</v>
      </c>
      <c r="B18" s="10"/>
      <c r="C18" s="10"/>
      <c r="D18" s="10"/>
      <c r="E18" s="10"/>
      <c r="F18" s="11"/>
      <c r="G18" s="11"/>
      <c r="H18" s="11"/>
      <c r="I18" s="12"/>
      <c r="J18" s="13" t="str">
        <f aca="true">IF(AND(F18&lt;&gt;"",ISNUMBER(F18),F18&gt;=TODAY(),G18&lt;&gt;"",ISNUMBER(G18),G18&gt;=DATE(YEAR(TODAY()),MONTH(TODAY())-1,1),H18&lt;&gt;"",ISNUMBER(H18),H18&gt;=TODAY(),I18="APTO"),"✔ ACCESO PERMITIDO","✘ SIN ACCESO")</f>
        <v>✘ SIN ACCESO</v>
      </c>
      <c r="K18" s="11"/>
      <c r="L18" s="11"/>
      <c r="M18" s="11"/>
      <c r="N18" s="11"/>
      <c r="O18" s="11"/>
      <c r="P18" s="11"/>
      <c r="Q18" s="10"/>
    </row>
    <row r="19" customFormat="false" ht="19.5" hidden="false" customHeight="true" outlineLevel="0" collapsed="false">
      <c r="A19" s="14" t="n">
        <v>14</v>
      </c>
      <c r="B19" s="10"/>
      <c r="C19" s="10"/>
      <c r="D19" s="10"/>
      <c r="E19" s="10"/>
      <c r="F19" s="11"/>
      <c r="G19" s="11"/>
      <c r="H19" s="11"/>
      <c r="I19" s="12"/>
      <c r="J19" s="15" t="str">
        <f aca="true">IF(AND(F19&lt;&gt;"",ISNUMBER(F19),F19&gt;=TODAY(),G19&lt;&gt;"",ISNUMBER(G19),G19&gt;=DATE(YEAR(TODAY()),MONTH(TODAY())-1,1),H19&lt;&gt;"",ISNUMBER(H19),H19&gt;=TODAY(),I19="APTO"),"✔ ACCESO PERMITIDO","✘ SIN ACCESO")</f>
        <v>✘ SIN ACCESO</v>
      </c>
      <c r="K19" s="11"/>
      <c r="L19" s="11"/>
      <c r="M19" s="11"/>
      <c r="N19" s="11"/>
      <c r="O19" s="11"/>
      <c r="P19" s="11"/>
      <c r="Q19" s="10"/>
    </row>
    <row r="20" customFormat="false" ht="19.5" hidden="false" customHeight="true" outlineLevel="0" collapsed="false">
      <c r="A20" s="9" t="n">
        <v>15</v>
      </c>
      <c r="B20" s="10"/>
      <c r="C20" s="10"/>
      <c r="D20" s="10"/>
      <c r="E20" s="10"/>
      <c r="F20" s="11"/>
      <c r="G20" s="11"/>
      <c r="H20" s="11"/>
      <c r="I20" s="12"/>
      <c r="J20" s="13" t="str">
        <f aca="true">IF(AND(F20&lt;&gt;"",ISNUMBER(F20),F20&gt;=TODAY(),G20&lt;&gt;"",ISNUMBER(G20),G20&gt;=DATE(YEAR(TODAY()),MONTH(TODAY())-1,1),H20&lt;&gt;"",ISNUMBER(H20),H20&gt;=TODAY(),I20="APTO"),"✔ ACCESO PERMITIDO","✘ SIN ACCESO")</f>
        <v>✘ SIN ACCESO</v>
      </c>
      <c r="K20" s="11"/>
      <c r="L20" s="11"/>
      <c r="M20" s="11"/>
      <c r="N20" s="11"/>
      <c r="O20" s="11"/>
      <c r="P20" s="11"/>
      <c r="Q20" s="10"/>
    </row>
    <row r="21" customFormat="false" ht="19.5" hidden="false" customHeight="true" outlineLevel="0" collapsed="false">
      <c r="A21" s="14" t="n">
        <v>16</v>
      </c>
      <c r="B21" s="10"/>
      <c r="C21" s="10"/>
      <c r="D21" s="10"/>
      <c r="E21" s="10"/>
      <c r="F21" s="11"/>
      <c r="G21" s="11"/>
      <c r="H21" s="11"/>
      <c r="I21" s="12"/>
      <c r="J21" s="15" t="str">
        <f aca="true">IF(AND(F21&lt;&gt;"",ISNUMBER(F21),F21&gt;=TODAY(),G21&lt;&gt;"",ISNUMBER(G21),G21&gt;=DATE(YEAR(TODAY()),MONTH(TODAY())-1,1),H21&lt;&gt;"",ISNUMBER(H21),H21&gt;=TODAY(),I21="APTO"),"✔ ACCESO PERMITIDO","✘ SIN ACCESO")</f>
        <v>✘ SIN ACCESO</v>
      </c>
      <c r="K21" s="11"/>
      <c r="L21" s="11"/>
      <c r="M21" s="11"/>
      <c r="N21" s="11"/>
      <c r="O21" s="11"/>
      <c r="P21" s="11"/>
      <c r="Q21" s="10"/>
    </row>
    <row r="22" customFormat="false" ht="19.5" hidden="false" customHeight="true" outlineLevel="0" collapsed="false">
      <c r="A22" s="9" t="n">
        <v>17</v>
      </c>
      <c r="B22" s="10"/>
      <c r="C22" s="10"/>
      <c r="D22" s="10"/>
      <c r="E22" s="10"/>
      <c r="F22" s="11"/>
      <c r="G22" s="11"/>
      <c r="H22" s="11"/>
      <c r="I22" s="12"/>
      <c r="J22" s="13" t="str">
        <f aca="true">IF(AND(F22&lt;&gt;"",ISNUMBER(F22),F22&gt;=TODAY(),G22&lt;&gt;"",ISNUMBER(G22),G22&gt;=DATE(YEAR(TODAY()),MONTH(TODAY())-1,1),H22&lt;&gt;"",ISNUMBER(H22),H22&gt;=TODAY(),I22="APTO"),"✔ ACCESO PERMITIDO","✘ SIN ACCESO")</f>
        <v>✘ SIN ACCESO</v>
      </c>
      <c r="K22" s="11"/>
      <c r="L22" s="11"/>
      <c r="M22" s="11"/>
      <c r="N22" s="11"/>
      <c r="O22" s="11"/>
      <c r="P22" s="11"/>
      <c r="Q22" s="10"/>
    </row>
    <row r="23" customFormat="false" ht="19.5" hidden="false" customHeight="true" outlineLevel="0" collapsed="false">
      <c r="A23" s="14" t="n">
        <v>18</v>
      </c>
      <c r="B23" s="10"/>
      <c r="C23" s="10"/>
      <c r="D23" s="10"/>
      <c r="E23" s="10"/>
      <c r="F23" s="11"/>
      <c r="G23" s="11"/>
      <c r="H23" s="11"/>
      <c r="I23" s="12"/>
      <c r="J23" s="15" t="str">
        <f aca="true">IF(AND(F23&lt;&gt;"",ISNUMBER(F23),F23&gt;=TODAY(),G23&lt;&gt;"",ISNUMBER(G23),G23&gt;=DATE(YEAR(TODAY()),MONTH(TODAY())-1,1),H23&lt;&gt;"",ISNUMBER(H23),H23&gt;=TODAY(),I23="APTO"),"✔ ACCESO PERMITIDO","✘ SIN ACCESO")</f>
        <v>✘ SIN ACCESO</v>
      </c>
      <c r="K23" s="11"/>
      <c r="L23" s="11"/>
      <c r="M23" s="11"/>
      <c r="N23" s="11"/>
      <c r="O23" s="11"/>
      <c r="P23" s="11"/>
      <c r="Q23" s="10"/>
    </row>
    <row r="24" customFormat="false" ht="19.5" hidden="false" customHeight="true" outlineLevel="0" collapsed="false">
      <c r="A24" s="9" t="n">
        <v>19</v>
      </c>
      <c r="B24" s="10"/>
      <c r="C24" s="10"/>
      <c r="D24" s="10"/>
      <c r="E24" s="10"/>
      <c r="F24" s="11"/>
      <c r="G24" s="11"/>
      <c r="H24" s="11"/>
      <c r="I24" s="12"/>
      <c r="J24" s="13" t="str">
        <f aca="true">IF(AND(F24&lt;&gt;"",ISNUMBER(F24),F24&gt;=TODAY(),G24&lt;&gt;"",ISNUMBER(G24),G24&gt;=DATE(YEAR(TODAY()),MONTH(TODAY())-1,1),H24&lt;&gt;"",ISNUMBER(H24),H24&gt;=TODAY(),I24="APTO"),"✔ ACCESO PERMITIDO","✘ SIN ACCESO")</f>
        <v>✘ SIN ACCESO</v>
      </c>
      <c r="K24" s="11"/>
      <c r="L24" s="11"/>
      <c r="M24" s="11"/>
      <c r="N24" s="11"/>
      <c r="O24" s="11"/>
      <c r="P24" s="11"/>
      <c r="Q24" s="10"/>
    </row>
    <row r="25" customFormat="false" ht="19.5" hidden="false" customHeight="true" outlineLevel="0" collapsed="false">
      <c r="A25" s="14" t="n">
        <v>20</v>
      </c>
      <c r="B25" s="10"/>
      <c r="C25" s="10"/>
      <c r="D25" s="10"/>
      <c r="E25" s="10"/>
      <c r="F25" s="11"/>
      <c r="G25" s="11"/>
      <c r="H25" s="11"/>
      <c r="I25" s="12"/>
      <c r="J25" s="15" t="str">
        <f aca="true">IF(AND(F25&lt;&gt;"",ISNUMBER(F25),F25&gt;=TODAY(),G25&lt;&gt;"",ISNUMBER(G25),G25&gt;=DATE(YEAR(TODAY()),MONTH(TODAY())-1,1),H25&lt;&gt;"",ISNUMBER(H25),H25&gt;=TODAY(),I25="APTO"),"✔ ACCESO PERMITIDO","✘ SIN ACCESO")</f>
        <v>✘ SIN ACCESO</v>
      </c>
      <c r="K25" s="11"/>
      <c r="L25" s="11"/>
      <c r="M25" s="11"/>
      <c r="N25" s="11"/>
      <c r="O25" s="11"/>
      <c r="P25" s="11"/>
      <c r="Q25" s="10"/>
    </row>
    <row r="26" customFormat="false" ht="19.5" hidden="false" customHeight="true" outlineLevel="0" collapsed="false">
      <c r="A26" s="9" t="n">
        <v>21</v>
      </c>
      <c r="B26" s="10"/>
      <c r="C26" s="10"/>
      <c r="D26" s="10"/>
      <c r="E26" s="10"/>
      <c r="F26" s="11"/>
      <c r="G26" s="11"/>
      <c r="H26" s="11"/>
      <c r="I26" s="12"/>
      <c r="J26" s="13" t="str">
        <f aca="true">IF(AND(F26&lt;&gt;"",ISNUMBER(F26),F26&gt;=TODAY(),G26&lt;&gt;"",ISNUMBER(G26),G26&gt;=DATE(YEAR(TODAY()),MONTH(TODAY())-1,1),H26&lt;&gt;"",ISNUMBER(H26),H26&gt;=TODAY(),I26="APTO"),"✔ ACCESO PERMITIDO","✘ SIN ACCESO")</f>
        <v>✘ SIN ACCESO</v>
      </c>
      <c r="K26" s="11"/>
      <c r="L26" s="11"/>
      <c r="M26" s="11"/>
      <c r="N26" s="11"/>
      <c r="O26" s="11"/>
      <c r="P26" s="11"/>
      <c r="Q26" s="10"/>
    </row>
    <row r="27" customFormat="false" ht="19.5" hidden="false" customHeight="true" outlineLevel="0" collapsed="false">
      <c r="A27" s="14" t="n">
        <v>22</v>
      </c>
      <c r="B27" s="10"/>
      <c r="C27" s="10"/>
      <c r="D27" s="10"/>
      <c r="E27" s="10"/>
      <c r="F27" s="11"/>
      <c r="G27" s="11"/>
      <c r="H27" s="11"/>
      <c r="I27" s="12"/>
      <c r="J27" s="15" t="str">
        <f aca="true">IF(AND(F27&lt;&gt;"",ISNUMBER(F27),F27&gt;=TODAY(),G27&lt;&gt;"",ISNUMBER(G27),G27&gt;=DATE(YEAR(TODAY()),MONTH(TODAY())-1,1),H27&lt;&gt;"",ISNUMBER(H27),H27&gt;=TODAY(),I27="APTO"),"✔ ACCESO PERMITIDO","✘ SIN ACCESO")</f>
        <v>✘ SIN ACCESO</v>
      </c>
      <c r="K27" s="11"/>
      <c r="L27" s="11"/>
      <c r="M27" s="11"/>
      <c r="N27" s="11"/>
      <c r="O27" s="11"/>
      <c r="P27" s="11"/>
      <c r="Q27" s="10"/>
    </row>
    <row r="28" customFormat="false" ht="19.5" hidden="false" customHeight="true" outlineLevel="0" collapsed="false">
      <c r="A28" s="9" t="n">
        <v>23</v>
      </c>
      <c r="B28" s="10"/>
      <c r="C28" s="10"/>
      <c r="D28" s="10"/>
      <c r="E28" s="10"/>
      <c r="F28" s="11"/>
      <c r="G28" s="11"/>
      <c r="H28" s="11"/>
      <c r="I28" s="12"/>
      <c r="J28" s="13" t="str">
        <f aca="true">IF(AND(F28&lt;&gt;"",ISNUMBER(F28),F28&gt;=TODAY(),G28&lt;&gt;"",ISNUMBER(G28),G28&gt;=DATE(YEAR(TODAY()),MONTH(TODAY())-1,1),H28&lt;&gt;"",ISNUMBER(H28),H28&gt;=TODAY(),I28="APTO"),"✔ ACCESO PERMITIDO","✘ SIN ACCESO")</f>
        <v>✘ SIN ACCESO</v>
      </c>
      <c r="K28" s="11"/>
      <c r="L28" s="11"/>
      <c r="M28" s="11"/>
      <c r="N28" s="11"/>
      <c r="O28" s="11"/>
      <c r="P28" s="11"/>
      <c r="Q28" s="10"/>
    </row>
    <row r="29" customFormat="false" ht="19.5" hidden="false" customHeight="true" outlineLevel="0" collapsed="false">
      <c r="A29" s="14" t="n">
        <v>24</v>
      </c>
      <c r="B29" s="10"/>
      <c r="C29" s="10"/>
      <c r="D29" s="10"/>
      <c r="E29" s="10"/>
      <c r="F29" s="11"/>
      <c r="G29" s="11"/>
      <c r="H29" s="11"/>
      <c r="I29" s="12"/>
      <c r="J29" s="15" t="str">
        <f aca="true">IF(AND(F29&lt;&gt;"",ISNUMBER(F29),F29&gt;=TODAY(),G29&lt;&gt;"",ISNUMBER(G29),G29&gt;=DATE(YEAR(TODAY()),MONTH(TODAY())-1,1),H29&lt;&gt;"",ISNUMBER(H29),H29&gt;=TODAY(),I29="APTO"),"✔ ACCESO PERMITIDO","✘ SIN ACCESO")</f>
        <v>✘ SIN ACCESO</v>
      </c>
      <c r="K29" s="11"/>
      <c r="L29" s="11"/>
      <c r="M29" s="11"/>
      <c r="N29" s="11"/>
      <c r="O29" s="11"/>
      <c r="P29" s="11"/>
      <c r="Q29" s="10"/>
    </row>
    <row r="30" customFormat="false" ht="19.5" hidden="false" customHeight="true" outlineLevel="0" collapsed="false">
      <c r="A30" s="9" t="n">
        <v>25</v>
      </c>
      <c r="B30" s="10"/>
      <c r="C30" s="10"/>
      <c r="D30" s="10"/>
      <c r="E30" s="10"/>
      <c r="F30" s="11"/>
      <c r="G30" s="11"/>
      <c r="H30" s="11"/>
      <c r="I30" s="12"/>
      <c r="J30" s="13" t="str">
        <f aca="true">IF(AND(F30&lt;&gt;"",ISNUMBER(F30),F30&gt;=TODAY(),G30&lt;&gt;"",ISNUMBER(G30),G30&gt;=DATE(YEAR(TODAY()),MONTH(TODAY())-1,1),H30&lt;&gt;"",ISNUMBER(H30),H30&gt;=TODAY(),I30="APTO"),"✔ ACCESO PERMITIDO","✘ SIN ACCESO")</f>
        <v>✘ SIN ACCESO</v>
      </c>
      <c r="K30" s="11"/>
      <c r="L30" s="11"/>
      <c r="M30" s="11"/>
      <c r="N30" s="11"/>
      <c r="O30" s="11"/>
      <c r="P30" s="11"/>
      <c r="Q30" s="10"/>
    </row>
    <row r="31" customFormat="false" ht="19.5" hidden="false" customHeight="true" outlineLevel="0" collapsed="false">
      <c r="A31" s="14" t="n">
        <v>26</v>
      </c>
      <c r="B31" s="10"/>
      <c r="C31" s="10"/>
      <c r="D31" s="10"/>
      <c r="E31" s="10"/>
      <c r="F31" s="11"/>
      <c r="G31" s="11"/>
      <c r="H31" s="11"/>
      <c r="I31" s="12"/>
      <c r="J31" s="15" t="str">
        <f aca="true">IF(AND(F31&lt;&gt;"",ISNUMBER(F31),F31&gt;=TODAY(),G31&lt;&gt;"",ISNUMBER(G31),G31&gt;=DATE(YEAR(TODAY()),MONTH(TODAY())-1,1),H31&lt;&gt;"",ISNUMBER(H31),H31&gt;=TODAY(),I31="APTO"),"✔ ACCESO PERMITIDO","✘ SIN ACCESO")</f>
        <v>✘ SIN ACCESO</v>
      </c>
      <c r="K31" s="11"/>
      <c r="L31" s="11"/>
      <c r="M31" s="11"/>
      <c r="N31" s="11"/>
      <c r="O31" s="11"/>
      <c r="P31" s="11"/>
      <c r="Q31" s="10"/>
    </row>
    <row r="32" customFormat="false" ht="19.5" hidden="false" customHeight="true" outlineLevel="0" collapsed="false">
      <c r="A32" s="9" t="n">
        <v>27</v>
      </c>
      <c r="B32" s="10"/>
      <c r="C32" s="10"/>
      <c r="D32" s="10"/>
      <c r="E32" s="10"/>
      <c r="F32" s="11"/>
      <c r="G32" s="11"/>
      <c r="H32" s="11"/>
      <c r="I32" s="12"/>
      <c r="J32" s="13" t="str">
        <f aca="true">IF(AND(F32&lt;&gt;"",ISNUMBER(F32),F32&gt;=TODAY(),G32&lt;&gt;"",ISNUMBER(G32),G32&gt;=DATE(YEAR(TODAY()),MONTH(TODAY())-1,1),H32&lt;&gt;"",ISNUMBER(H32),H32&gt;=TODAY(),I32="APTO"),"✔ ACCESO PERMITIDO","✘ SIN ACCESO")</f>
        <v>✘ SIN ACCESO</v>
      </c>
      <c r="K32" s="11"/>
      <c r="L32" s="11"/>
      <c r="M32" s="11"/>
      <c r="N32" s="11"/>
      <c r="O32" s="11"/>
      <c r="P32" s="11"/>
      <c r="Q32" s="10"/>
    </row>
    <row r="33" customFormat="false" ht="19.5" hidden="false" customHeight="true" outlineLevel="0" collapsed="false">
      <c r="A33" s="14" t="n">
        <v>28</v>
      </c>
      <c r="B33" s="10"/>
      <c r="C33" s="10"/>
      <c r="D33" s="10"/>
      <c r="E33" s="10"/>
      <c r="F33" s="11"/>
      <c r="G33" s="11"/>
      <c r="H33" s="11"/>
      <c r="I33" s="12"/>
      <c r="J33" s="15" t="str">
        <f aca="true">IF(AND(F33&lt;&gt;"",ISNUMBER(F33),F33&gt;=TODAY(),G33&lt;&gt;"",ISNUMBER(G33),G33&gt;=DATE(YEAR(TODAY()),MONTH(TODAY())-1,1),H33&lt;&gt;"",ISNUMBER(H33),H33&gt;=TODAY(),I33="APTO"),"✔ ACCESO PERMITIDO","✘ SIN ACCESO")</f>
        <v>✘ SIN ACCESO</v>
      </c>
      <c r="K33" s="11"/>
      <c r="L33" s="11"/>
      <c r="M33" s="11"/>
      <c r="N33" s="11"/>
      <c r="O33" s="11"/>
      <c r="P33" s="11"/>
      <c r="Q33" s="10"/>
    </row>
    <row r="34" customFormat="false" ht="19.5" hidden="false" customHeight="true" outlineLevel="0" collapsed="false">
      <c r="A34" s="9" t="n">
        <v>29</v>
      </c>
      <c r="B34" s="10"/>
      <c r="C34" s="10"/>
      <c r="D34" s="10"/>
      <c r="E34" s="10"/>
      <c r="F34" s="11"/>
      <c r="G34" s="11"/>
      <c r="H34" s="11"/>
      <c r="I34" s="12"/>
      <c r="J34" s="13" t="str">
        <f aca="true">IF(AND(F34&lt;&gt;"",ISNUMBER(F34),F34&gt;=TODAY(),G34&lt;&gt;"",ISNUMBER(G34),G34&gt;=DATE(YEAR(TODAY()),MONTH(TODAY())-1,1),H34&lt;&gt;"",ISNUMBER(H34),H34&gt;=TODAY(),I34="APTO"),"✔ ACCESO PERMITIDO","✘ SIN ACCESO")</f>
        <v>✘ SIN ACCESO</v>
      </c>
      <c r="K34" s="11"/>
      <c r="L34" s="11"/>
      <c r="M34" s="11"/>
      <c r="N34" s="11"/>
      <c r="O34" s="11"/>
      <c r="P34" s="11"/>
      <c r="Q34" s="10"/>
    </row>
    <row r="35" customFormat="false" ht="19.5" hidden="false" customHeight="true" outlineLevel="0" collapsed="false">
      <c r="A35" s="14" t="n">
        <v>30</v>
      </c>
      <c r="B35" s="10"/>
      <c r="C35" s="10"/>
      <c r="D35" s="10"/>
      <c r="E35" s="10"/>
      <c r="F35" s="11"/>
      <c r="G35" s="11"/>
      <c r="H35" s="11"/>
      <c r="I35" s="12"/>
      <c r="J35" s="15" t="str">
        <f aca="true">IF(AND(F35&lt;&gt;"",ISNUMBER(F35),F35&gt;=TODAY(),G35&lt;&gt;"",ISNUMBER(G35),G35&gt;=DATE(YEAR(TODAY()),MONTH(TODAY())-1,1),H35&lt;&gt;"",ISNUMBER(H35),H35&gt;=TODAY(),I35="APTO"),"✔ ACCESO PERMITIDO","✘ SIN ACCESO")</f>
        <v>✘ SIN ACCESO</v>
      </c>
      <c r="K35" s="11"/>
      <c r="L35" s="11"/>
      <c r="M35" s="11"/>
      <c r="N35" s="11"/>
      <c r="O35" s="11"/>
      <c r="P35" s="11"/>
      <c r="Q35" s="10"/>
    </row>
    <row r="36" customFormat="false" ht="19.5" hidden="false" customHeight="true" outlineLevel="0" collapsed="false">
      <c r="A36" s="9" t="n">
        <v>31</v>
      </c>
      <c r="B36" s="10"/>
      <c r="C36" s="10"/>
      <c r="D36" s="10"/>
      <c r="E36" s="10"/>
      <c r="F36" s="11"/>
      <c r="G36" s="11"/>
      <c r="H36" s="11"/>
      <c r="I36" s="12"/>
      <c r="J36" s="13" t="str">
        <f aca="true">IF(AND(F36&lt;&gt;"",ISNUMBER(F36),F36&gt;=TODAY(),G36&lt;&gt;"",ISNUMBER(G36),G36&gt;=DATE(YEAR(TODAY()),MONTH(TODAY())-1,1),H36&lt;&gt;"",ISNUMBER(H36),H36&gt;=TODAY(),I36="APTO"),"✔ ACCESO PERMITIDO","✘ SIN ACCESO")</f>
        <v>✘ SIN ACCESO</v>
      </c>
      <c r="K36" s="11"/>
      <c r="L36" s="11"/>
      <c r="M36" s="11"/>
      <c r="N36" s="11"/>
      <c r="O36" s="11"/>
      <c r="P36" s="11"/>
      <c r="Q36" s="10"/>
    </row>
    <row r="37" customFormat="false" ht="19.5" hidden="false" customHeight="true" outlineLevel="0" collapsed="false">
      <c r="A37" s="14" t="n">
        <v>32</v>
      </c>
      <c r="B37" s="10"/>
      <c r="C37" s="10"/>
      <c r="D37" s="10"/>
      <c r="E37" s="10"/>
      <c r="F37" s="11"/>
      <c r="G37" s="11"/>
      <c r="H37" s="11"/>
      <c r="I37" s="12"/>
      <c r="J37" s="15" t="str">
        <f aca="true">IF(AND(F37&lt;&gt;"",ISNUMBER(F37),F37&gt;=TODAY(),G37&lt;&gt;"",ISNUMBER(G37),G37&gt;=DATE(YEAR(TODAY()),MONTH(TODAY())-1,1),H37&lt;&gt;"",ISNUMBER(H37),H37&gt;=TODAY(),I37="APTO"),"✔ ACCESO PERMITIDO","✘ SIN ACCESO")</f>
        <v>✘ SIN ACCESO</v>
      </c>
      <c r="K37" s="11"/>
      <c r="L37" s="11"/>
      <c r="M37" s="11"/>
      <c r="N37" s="11"/>
      <c r="O37" s="11"/>
      <c r="P37" s="11"/>
      <c r="Q37" s="10"/>
    </row>
    <row r="38" customFormat="false" ht="19.5" hidden="false" customHeight="true" outlineLevel="0" collapsed="false">
      <c r="A38" s="9" t="n">
        <v>33</v>
      </c>
      <c r="B38" s="10"/>
      <c r="C38" s="10"/>
      <c r="D38" s="10"/>
      <c r="E38" s="10"/>
      <c r="F38" s="11"/>
      <c r="G38" s="11"/>
      <c r="H38" s="11"/>
      <c r="I38" s="12"/>
      <c r="J38" s="13" t="str">
        <f aca="true">IF(AND(F38&lt;&gt;"",ISNUMBER(F38),F38&gt;=TODAY(),G38&lt;&gt;"",ISNUMBER(G38),G38&gt;=DATE(YEAR(TODAY()),MONTH(TODAY())-1,1),H38&lt;&gt;"",ISNUMBER(H38),H38&gt;=TODAY(),I38="APTO"),"✔ ACCESO PERMITIDO","✘ SIN ACCESO")</f>
        <v>✘ SIN ACCESO</v>
      </c>
      <c r="K38" s="11"/>
      <c r="L38" s="11"/>
      <c r="M38" s="11"/>
      <c r="N38" s="11"/>
      <c r="O38" s="11"/>
      <c r="P38" s="11"/>
      <c r="Q38" s="10"/>
    </row>
    <row r="39" customFormat="false" ht="19.5" hidden="false" customHeight="true" outlineLevel="0" collapsed="false">
      <c r="A39" s="14" t="n">
        <v>34</v>
      </c>
      <c r="B39" s="10"/>
      <c r="C39" s="10"/>
      <c r="D39" s="10"/>
      <c r="E39" s="10"/>
      <c r="F39" s="11"/>
      <c r="G39" s="11"/>
      <c r="H39" s="11"/>
      <c r="I39" s="12"/>
      <c r="J39" s="15" t="str">
        <f aca="true">IF(AND(F39&lt;&gt;"",ISNUMBER(F39),F39&gt;=TODAY(),G39&lt;&gt;"",ISNUMBER(G39),G39&gt;=DATE(YEAR(TODAY()),MONTH(TODAY())-1,1),H39&lt;&gt;"",ISNUMBER(H39),H39&gt;=TODAY(),I39="APTO"),"✔ ACCESO PERMITIDO","✘ SIN ACCESO")</f>
        <v>✘ SIN ACCESO</v>
      </c>
      <c r="K39" s="11"/>
      <c r="L39" s="11"/>
      <c r="M39" s="11"/>
      <c r="N39" s="11"/>
      <c r="O39" s="11"/>
      <c r="P39" s="11"/>
      <c r="Q39" s="10"/>
    </row>
    <row r="40" customFormat="false" ht="19.5" hidden="false" customHeight="true" outlineLevel="0" collapsed="false">
      <c r="A40" s="9" t="n">
        <v>35</v>
      </c>
      <c r="B40" s="10"/>
      <c r="C40" s="10"/>
      <c r="D40" s="10"/>
      <c r="E40" s="10"/>
      <c r="F40" s="11"/>
      <c r="G40" s="11"/>
      <c r="H40" s="11"/>
      <c r="I40" s="12"/>
      <c r="J40" s="13" t="str">
        <f aca="true">IF(AND(F40&lt;&gt;"",ISNUMBER(F40),F40&gt;=TODAY(),G40&lt;&gt;"",ISNUMBER(G40),G40&gt;=DATE(YEAR(TODAY()),MONTH(TODAY())-1,1),H40&lt;&gt;"",ISNUMBER(H40),H40&gt;=TODAY(),I40="APTO"),"✔ ACCESO PERMITIDO","✘ SIN ACCESO")</f>
        <v>✘ SIN ACCESO</v>
      </c>
      <c r="K40" s="11"/>
      <c r="L40" s="11"/>
      <c r="M40" s="11"/>
      <c r="N40" s="11"/>
      <c r="O40" s="11"/>
      <c r="P40" s="11"/>
      <c r="Q40" s="10"/>
    </row>
    <row r="41" customFormat="false" ht="19.5" hidden="false" customHeight="true" outlineLevel="0" collapsed="false">
      <c r="A41" s="14" t="n">
        <v>36</v>
      </c>
      <c r="B41" s="10"/>
      <c r="C41" s="10"/>
      <c r="D41" s="10"/>
      <c r="E41" s="10"/>
      <c r="F41" s="11"/>
      <c r="G41" s="11"/>
      <c r="H41" s="11"/>
      <c r="I41" s="12"/>
      <c r="J41" s="15" t="str">
        <f aca="true">IF(AND(F41&lt;&gt;"",ISNUMBER(F41),F41&gt;=TODAY(),G41&lt;&gt;"",ISNUMBER(G41),G41&gt;=DATE(YEAR(TODAY()),MONTH(TODAY())-1,1),H41&lt;&gt;"",ISNUMBER(H41),H41&gt;=TODAY(),I41="APTO"),"✔ ACCESO PERMITIDO","✘ SIN ACCESO")</f>
        <v>✘ SIN ACCESO</v>
      </c>
      <c r="K41" s="11"/>
      <c r="L41" s="11"/>
      <c r="M41" s="11"/>
      <c r="N41" s="11"/>
      <c r="O41" s="11"/>
      <c r="P41" s="11"/>
      <c r="Q41" s="10"/>
    </row>
    <row r="42" customFormat="false" ht="19.5" hidden="false" customHeight="true" outlineLevel="0" collapsed="false">
      <c r="A42" s="9" t="n">
        <v>37</v>
      </c>
      <c r="B42" s="10"/>
      <c r="C42" s="10"/>
      <c r="D42" s="10"/>
      <c r="E42" s="10"/>
      <c r="F42" s="11"/>
      <c r="G42" s="11"/>
      <c r="H42" s="11"/>
      <c r="I42" s="12"/>
      <c r="J42" s="13" t="str">
        <f aca="true">IF(AND(F42&lt;&gt;"",ISNUMBER(F42),F42&gt;=TODAY(),G42&lt;&gt;"",ISNUMBER(G42),G42&gt;=DATE(YEAR(TODAY()),MONTH(TODAY())-1,1),H42&lt;&gt;"",ISNUMBER(H42),H42&gt;=TODAY(),I42="APTO"),"✔ ACCESO PERMITIDO","✘ SIN ACCESO")</f>
        <v>✘ SIN ACCESO</v>
      </c>
      <c r="K42" s="11"/>
      <c r="L42" s="11"/>
      <c r="M42" s="11"/>
      <c r="N42" s="11"/>
      <c r="O42" s="11"/>
      <c r="P42" s="11"/>
      <c r="Q42" s="10"/>
    </row>
    <row r="43" customFormat="false" ht="19.5" hidden="false" customHeight="true" outlineLevel="0" collapsed="false">
      <c r="A43" s="14" t="n">
        <v>38</v>
      </c>
      <c r="B43" s="10"/>
      <c r="C43" s="10"/>
      <c r="D43" s="10"/>
      <c r="E43" s="10"/>
      <c r="F43" s="11"/>
      <c r="G43" s="11"/>
      <c r="H43" s="11"/>
      <c r="I43" s="12"/>
      <c r="J43" s="15" t="str">
        <f aca="true">IF(AND(F43&lt;&gt;"",ISNUMBER(F43),F43&gt;=TODAY(),G43&lt;&gt;"",ISNUMBER(G43),G43&gt;=DATE(YEAR(TODAY()),MONTH(TODAY())-1,1),H43&lt;&gt;"",ISNUMBER(H43),H43&gt;=TODAY(),I43="APTO"),"✔ ACCESO PERMITIDO","✘ SIN ACCESO")</f>
        <v>✘ SIN ACCESO</v>
      </c>
      <c r="K43" s="11"/>
      <c r="L43" s="11"/>
      <c r="M43" s="11"/>
      <c r="N43" s="11"/>
      <c r="O43" s="11"/>
      <c r="P43" s="11"/>
      <c r="Q43" s="10"/>
    </row>
    <row r="44" customFormat="false" ht="19.5" hidden="false" customHeight="true" outlineLevel="0" collapsed="false">
      <c r="A44" s="9" t="n">
        <v>39</v>
      </c>
      <c r="B44" s="10"/>
      <c r="C44" s="10"/>
      <c r="D44" s="10"/>
      <c r="E44" s="10"/>
      <c r="F44" s="11"/>
      <c r="G44" s="11"/>
      <c r="H44" s="11"/>
      <c r="I44" s="12"/>
      <c r="J44" s="13" t="str">
        <f aca="true">IF(AND(F44&lt;&gt;"",ISNUMBER(F44),F44&gt;=TODAY(),G44&lt;&gt;"",ISNUMBER(G44),G44&gt;=DATE(YEAR(TODAY()),MONTH(TODAY())-1,1),H44&lt;&gt;"",ISNUMBER(H44),H44&gt;=TODAY(),I44="APTO"),"✔ ACCESO PERMITIDO","✘ SIN ACCESO")</f>
        <v>✘ SIN ACCESO</v>
      </c>
      <c r="K44" s="11"/>
      <c r="L44" s="11"/>
      <c r="M44" s="11"/>
      <c r="N44" s="11"/>
      <c r="O44" s="11"/>
      <c r="P44" s="11"/>
      <c r="Q44" s="10"/>
    </row>
    <row r="45" customFormat="false" ht="19.5" hidden="false" customHeight="true" outlineLevel="0" collapsed="false">
      <c r="A45" s="14" t="n">
        <v>40</v>
      </c>
      <c r="B45" s="10"/>
      <c r="C45" s="10"/>
      <c r="D45" s="10"/>
      <c r="E45" s="10"/>
      <c r="F45" s="11"/>
      <c r="G45" s="11"/>
      <c r="H45" s="11"/>
      <c r="I45" s="12"/>
      <c r="J45" s="15" t="str">
        <f aca="true">IF(AND(F45&lt;&gt;"",ISNUMBER(F45),F45&gt;=TODAY(),G45&lt;&gt;"",ISNUMBER(G45),G45&gt;=DATE(YEAR(TODAY()),MONTH(TODAY())-1,1),H45&lt;&gt;"",ISNUMBER(H45),H45&gt;=TODAY(),I45="APTO"),"✔ ACCESO PERMITIDO","✘ SIN ACCESO")</f>
        <v>✘ SIN ACCESO</v>
      </c>
      <c r="K45" s="11"/>
      <c r="L45" s="11"/>
      <c r="M45" s="11"/>
      <c r="N45" s="11"/>
      <c r="O45" s="11"/>
      <c r="P45" s="11"/>
      <c r="Q45" s="10"/>
    </row>
    <row r="46" customFormat="false" ht="19.5" hidden="false" customHeight="true" outlineLevel="0" collapsed="false">
      <c r="A46" s="9" t="n">
        <v>41</v>
      </c>
      <c r="B46" s="10"/>
      <c r="C46" s="10"/>
      <c r="D46" s="10"/>
      <c r="E46" s="10"/>
      <c r="F46" s="11"/>
      <c r="G46" s="11"/>
      <c r="H46" s="11"/>
      <c r="I46" s="12"/>
      <c r="J46" s="13" t="str">
        <f aca="true">IF(AND(F46&lt;&gt;"",ISNUMBER(F46),F46&gt;=TODAY(),G46&lt;&gt;"",ISNUMBER(G46),G46&gt;=DATE(YEAR(TODAY()),MONTH(TODAY())-1,1),H46&lt;&gt;"",ISNUMBER(H46),H46&gt;=TODAY(),I46="APTO"),"✔ ACCESO PERMITIDO","✘ SIN ACCESO")</f>
        <v>✘ SIN ACCESO</v>
      </c>
      <c r="K46" s="11"/>
      <c r="L46" s="11"/>
      <c r="M46" s="11"/>
      <c r="N46" s="11"/>
      <c r="O46" s="11"/>
      <c r="P46" s="11"/>
      <c r="Q46" s="10"/>
    </row>
    <row r="47" customFormat="false" ht="19.5" hidden="false" customHeight="true" outlineLevel="0" collapsed="false">
      <c r="A47" s="14" t="n">
        <v>42</v>
      </c>
      <c r="B47" s="10"/>
      <c r="C47" s="10"/>
      <c r="D47" s="10"/>
      <c r="E47" s="10"/>
      <c r="F47" s="11"/>
      <c r="G47" s="11"/>
      <c r="H47" s="11"/>
      <c r="I47" s="12"/>
      <c r="J47" s="15" t="str">
        <f aca="true">IF(AND(F47&lt;&gt;"",ISNUMBER(F47),F47&gt;=TODAY(),G47&lt;&gt;"",ISNUMBER(G47),G47&gt;=DATE(YEAR(TODAY()),MONTH(TODAY())-1,1),H47&lt;&gt;"",ISNUMBER(H47),H47&gt;=TODAY(),I47="APTO"),"✔ ACCESO PERMITIDO","✘ SIN ACCESO")</f>
        <v>✘ SIN ACCESO</v>
      </c>
      <c r="K47" s="11"/>
      <c r="L47" s="11"/>
      <c r="M47" s="11"/>
      <c r="N47" s="11"/>
      <c r="O47" s="11"/>
      <c r="P47" s="11"/>
      <c r="Q47" s="10"/>
    </row>
    <row r="48" customFormat="false" ht="19.5" hidden="false" customHeight="true" outlineLevel="0" collapsed="false">
      <c r="A48" s="9" t="n">
        <v>43</v>
      </c>
      <c r="B48" s="10"/>
      <c r="C48" s="10"/>
      <c r="D48" s="10"/>
      <c r="E48" s="10"/>
      <c r="F48" s="11"/>
      <c r="G48" s="11"/>
      <c r="H48" s="11"/>
      <c r="I48" s="12"/>
      <c r="J48" s="13" t="str">
        <f aca="true">IF(AND(F48&lt;&gt;"",ISNUMBER(F48),F48&gt;=TODAY(),G48&lt;&gt;"",ISNUMBER(G48),G48&gt;=DATE(YEAR(TODAY()),MONTH(TODAY())-1,1),H48&lt;&gt;"",ISNUMBER(H48),H48&gt;=TODAY(),I48="APTO"),"✔ ACCESO PERMITIDO","✘ SIN ACCESO")</f>
        <v>✘ SIN ACCESO</v>
      </c>
      <c r="K48" s="11"/>
      <c r="L48" s="11"/>
      <c r="M48" s="11"/>
      <c r="N48" s="11"/>
      <c r="O48" s="11"/>
      <c r="P48" s="11"/>
      <c r="Q48" s="10"/>
    </row>
    <row r="49" customFormat="false" ht="19.5" hidden="false" customHeight="true" outlineLevel="0" collapsed="false">
      <c r="A49" s="14" t="n">
        <v>44</v>
      </c>
      <c r="B49" s="10"/>
      <c r="C49" s="10"/>
      <c r="D49" s="10"/>
      <c r="E49" s="10"/>
      <c r="F49" s="11"/>
      <c r="G49" s="11"/>
      <c r="H49" s="11"/>
      <c r="I49" s="12"/>
      <c r="J49" s="15" t="str">
        <f aca="true">IF(AND(F49&lt;&gt;"",ISNUMBER(F49),F49&gt;=TODAY(),G49&lt;&gt;"",ISNUMBER(G49),G49&gt;=DATE(YEAR(TODAY()),MONTH(TODAY())-1,1),H49&lt;&gt;"",ISNUMBER(H49),H49&gt;=TODAY(),I49="APTO"),"✔ ACCESO PERMITIDO","✘ SIN ACCESO")</f>
        <v>✘ SIN ACCESO</v>
      </c>
      <c r="K49" s="11"/>
      <c r="L49" s="11"/>
      <c r="M49" s="11"/>
      <c r="N49" s="11"/>
      <c r="O49" s="11"/>
      <c r="P49" s="11"/>
      <c r="Q49" s="10"/>
    </row>
    <row r="50" customFormat="false" ht="19.5" hidden="false" customHeight="true" outlineLevel="0" collapsed="false">
      <c r="A50" s="9" t="n">
        <v>45</v>
      </c>
      <c r="B50" s="10"/>
      <c r="C50" s="10"/>
      <c r="D50" s="10"/>
      <c r="E50" s="10"/>
      <c r="F50" s="11"/>
      <c r="G50" s="11"/>
      <c r="H50" s="11"/>
      <c r="I50" s="12"/>
      <c r="J50" s="13" t="str">
        <f aca="true">IF(AND(F50&lt;&gt;"",ISNUMBER(F50),F50&gt;=TODAY(),G50&lt;&gt;"",ISNUMBER(G50),G50&gt;=DATE(YEAR(TODAY()),MONTH(TODAY())-1,1),H50&lt;&gt;"",ISNUMBER(H50),H50&gt;=TODAY(),I50="APTO"),"✔ ACCESO PERMITIDO","✘ SIN ACCESO")</f>
        <v>✘ SIN ACCESO</v>
      </c>
      <c r="K50" s="11"/>
      <c r="L50" s="11"/>
      <c r="M50" s="11"/>
      <c r="N50" s="11"/>
      <c r="O50" s="11"/>
      <c r="P50" s="11"/>
      <c r="Q50" s="10"/>
    </row>
    <row r="51" customFormat="false" ht="19.5" hidden="false" customHeight="true" outlineLevel="0" collapsed="false">
      <c r="A51" s="14" t="n">
        <v>46</v>
      </c>
      <c r="B51" s="10"/>
      <c r="C51" s="10"/>
      <c r="D51" s="10"/>
      <c r="E51" s="10"/>
      <c r="F51" s="11"/>
      <c r="G51" s="11"/>
      <c r="H51" s="11"/>
      <c r="I51" s="12"/>
      <c r="J51" s="15" t="str">
        <f aca="true">IF(AND(F51&lt;&gt;"",ISNUMBER(F51),F51&gt;=TODAY(),G51&lt;&gt;"",ISNUMBER(G51),G51&gt;=DATE(YEAR(TODAY()),MONTH(TODAY())-1,1),H51&lt;&gt;"",ISNUMBER(H51),H51&gt;=TODAY(),I51="APTO"),"✔ ACCESO PERMITIDO","✘ SIN ACCESO")</f>
        <v>✘ SIN ACCESO</v>
      </c>
      <c r="K51" s="11"/>
      <c r="L51" s="11"/>
      <c r="M51" s="11"/>
      <c r="N51" s="11"/>
      <c r="O51" s="11"/>
      <c r="P51" s="11"/>
      <c r="Q51" s="10"/>
    </row>
    <row r="52" customFormat="false" ht="19.5" hidden="false" customHeight="true" outlineLevel="0" collapsed="false">
      <c r="A52" s="9" t="n">
        <v>47</v>
      </c>
      <c r="B52" s="10"/>
      <c r="C52" s="10"/>
      <c r="D52" s="10"/>
      <c r="E52" s="10"/>
      <c r="F52" s="11"/>
      <c r="G52" s="11"/>
      <c r="H52" s="11"/>
      <c r="I52" s="12"/>
      <c r="J52" s="13" t="str">
        <f aca="true">IF(AND(F52&lt;&gt;"",ISNUMBER(F52),F52&gt;=TODAY(),G52&lt;&gt;"",ISNUMBER(G52),G52&gt;=DATE(YEAR(TODAY()),MONTH(TODAY())-1,1),H52&lt;&gt;"",ISNUMBER(H52),H52&gt;=TODAY(),I52="APTO"),"✔ ACCESO PERMITIDO","✘ SIN ACCESO")</f>
        <v>✘ SIN ACCESO</v>
      </c>
      <c r="K52" s="11"/>
      <c r="L52" s="11"/>
      <c r="M52" s="11"/>
      <c r="N52" s="11"/>
      <c r="O52" s="11"/>
      <c r="P52" s="11"/>
      <c r="Q52" s="10"/>
    </row>
    <row r="53" customFormat="false" ht="19.5" hidden="false" customHeight="true" outlineLevel="0" collapsed="false">
      <c r="A53" s="14" t="n">
        <v>48</v>
      </c>
      <c r="B53" s="10"/>
      <c r="C53" s="10"/>
      <c r="D53" s="10"/>
      <c r="E53" s="10"/>
      <c r="F53" s="11"/>
      <c r="G53" s="11"/>
      <c r="H53" s="11"/>
      <c r="I53" s="12"/>
      <c r="J53" s="15" t="str">
        <f aca="true">IF(AND(F53&lt;&gt;"",ISNUMBER(F53),F53&gt;=TODAY(),G53&lt;&gt;"",ISNUMBER(G53),G53&gt;=DATE(YEAR(TODAY()),MONTH(TODAY())-1,1),H53&lt;&gt;"",ISNUMBER(H53),H53&gt;=TODAY(),I53="APTO"),"✔ ACCESO PERMITIDO","✘ SIN ACCESO")</f>
        <v>✘ SIN ACCESO</v>
      </c>
      <c r="K53" s="11"/>
      <c r="L53" s="11"/>
      <c r="M53" s="11"/>
      <c r="N53" s="11"/>
      <c r="O53" s="11"/>
      <c r="P53" s="11"/>
      <c r="Q53" s="10"/>
    </row>
    <row r="54" customFormat="false" ht="19.5" hidden="false" customHeight="true" outlineLevel="0" collapsed="false">
      <c r="A54" s="9" t="n">
        <v>49</v>
      </c>
      <c r="B54" s="10"/>
      <c r="C54" s="10"/>
      <c r="D54" s="10"/>
      <c r="E54" s="10"/>
      <c r="F54" s="11"/>
      <c r="G54" s="11"/>
      <c r="H54" s="11"/>
      <c r="I54" s="12"/>
      <c r="J54" s="13" t="str">
        <f aca="true">IF(AND(F54&lt;&gt;"",ISNUMBER(F54),F54&gt;=TODAY(),G54&lt;&gt;"",ISNUMBER(G54),G54&gt;=DATE(YEAR(TODAY()),MONTH(TODAY())-1,1),H54&lt;&gt;"",ISNUMBER(H54),H54&gt;=TODAY(),I54="APTO"),"✔ ACCESO PERMITIDO","✘ SIN ACCESO")</f>
        <v>✘ SIN ACCESO</v>
      </c>
      <c r="K54" s="11"/>
      <c r="L54" s="11"/>
      <c r="M54" s="11"/>
      <c r="N54" s="11"/>
      <c r="O54" s="11"/>
      <c r="P54" s="11"/>
      <c r="Q54" s="10"/>
    </row>
    <row r="55" customFormat="false" ht="19.5" hidden="false" customHeight="true" outlineLevel="0" collapsed="false">
      <c r="A55" s="14" t="n">
        <v>50</v>
      </c>
      <c r="B55" s="10"/>
      <c r="C55" s="10"/>
      <c r="D55" s="10"/>
      <c r="E55" s="10"/>
      <c r="F55" s="11"/>
      <c r="G55" s="11"/>
      <c r="H55" s="11"/>
      <c r="I55" s="12"/>
      <c r="J55" s="15" t="str">
        <f aca="true">IF(AND(F55&lt;&gt;"",ISNUMBER(F55),F55&gt;=TODAY(),G55&lt;&gt;"",ISNUMBER(G55),G55&gt;=DATE(YEAR(TODAY()),MONTH(TODAY())-1,1),H55&lt;&gt;"",ISNUMBER(H55),H55&gt;=TODAY(),I55="APTO"),"✔ ACCESO PERMITIDO","✘ SIN ACCESO")</f>
        <v>✘ SIN ACCESO</v>
      </c>
      <c r="K55" s="11"/>
      <c r="L55" s="11"/>
      <c r="M55" s="11"/>
      <c r="N55" s="11"/>
      <c r="O55" s="11"/>
      <c r="P55" s="11"/>
      <c r="Q55" s="10"/>
    </row>
  </sheetData>
  <autoFilter ref="A5:Q5"/>
  <mergeCells count="6">
    <mergeCell ref="A1:B1"/>
    <mergeCell ref="C1:Q1"/>
    <mergeCell ref="A2:Q2"/>
    <mergeCell ref="A3:J3"/>
    <mergeCell ref="K3:Q3"/>
    <mergeCell ref="A4:Q4"/>
  </mergeCells>
  <conditionalFormatting sqref="J6:J55">
    <cfRule type="cellIs" priority="2" operator="equal" aboveAverage="0" equalAverage="0" bottom="0" percent="0" rank="0" text="" dxfId="3">
      <formula>"✔ ACCESO PERMITIDO"</formula>
    </cfRule>
    <cfRule type="cellIs" priority="3" operator="equal" aboveAverage="0" equalAverage="0" bottom="0" percent="0" rank="0" text="" dxfId="4">
      <formula>"✘ SIN ACCESO"</formula>
    </cfRule>
  </conditionalFormatting>
  <conditionalFormatting sqref="I6:I55">
    <cfRule type="cellIs" priority="4" operator="equal" aboveAverage="0" equalAverage="0" bottom="0" percent="0" rank="0" text="" dxfId="3">
      <formula>"APTO"</formula>
    </cfRule>
    <cfRule type="cellIs" priority="5" operator="equal" aboveAverage="0" equalAverage="0" bottom="0" percent="0" rank="0" text="" dxfId="4">
      <formula>"NO APTO"</formula>
    </cfRule>
  </conditionalFormatting>
  <conditionalFormatting sqref="F6:F55">
    <cfRule type="expression" priority="6" aboveAverage="0" equalAverage="0" bottom="0" percent="0" rank="0" text="" dxfId="5">
      <formula>AND(F6&lt;&gt;"",ISNUMBER(F6),F6&lt;TODAY())</formula>
    </cfRule>
    <cfRule type="expression" priority="7" aboveAverage="0" equalAverage="0" bottom="0" percent="0" rank="0" text="" dxfId="6">
      <formula>AND(F6&lt;&gt;"",ISNUMBER(F6),F6&gt;=TODAY(),F6&lt;=TODAY()+30)</formula>
    </cfRule>
    <cfRule type="expression" priority="8" aboveAverage="0" equalAverage="0" bottom="0" percent="0" rank="0" text="" dxfId="7">
      <formula>AND(F6&lt;&gt;"",ISNUMBER(F6),F6&gt;TODAY()+30)</formula>
    </cfRule>
  </conditionalFormatting>
  <conditionalFormatting sqref="H6:H55">
    <cfRule type="expression" priority="9" aboveAverage="0" equalAverage="0" bottom="0" percent="0" rank="0" text="" dxfId="5">
      <formula>AND(H6&lt;&gt;"",ISNUMBER(H6),H6&lt;TODAY())</formula>
    </cfRule>
    <cfRule type="expression" priority="10" aboveAverage="0" equalAverage="0" bottom="0" percent="0" rank="0" text="" dxfId="6">
      <formula>AND(H6&lt;&gt;"",ISNUMBER(H6),H6&gt;=TODAY(),H6&lt;=TODAY()+30)</formula>
    </cfRule>
    <cfRule type="expression" priority="11" aboveAverage="0" equalAverage="0" bottom="0" percent="0" rank="0" text="" dxfId="7">
      <formula>AND(H6&lt;&gt;"",ISNUMBER(H6),H6&gt;TODAY()+30)</formula>
    </cfRule>
  </conditionalFormatting>
  <conditionalFormatting sqref="K6:K55">
    <cfRule type="expression" priority="12" aboveAverage="0" equalAverage="0" bottom="0" percent="0" rank="0" text="" dxfId="5">
      <formula>AND(K6&lt;&gt;"",ISNUMBER(K6),K6&lt;TODAY())</formula>
    </cfRule>
    <cfRule type="expression" priority="13" aboveAverage="0" equalAverage="0" bottom="0" percent="0" rank="0" text="" dxfId="6">
      <formula>AND(K6&lt;&gt;"",ISNUMBER(K6),K6&gt;=TODAY(),K6&lt;=TODAY()+30)</formula>
    </cfRule>
    <cfRule type="expression" priority="14" aboveAverage="0" equalAverage="0" bottom="0" percent="0" rank="0" text="" dxfId="7">
      <formula>AND(K6&lt;&gt;"",ISNUMBER(K6),K6&gt;TODAY()+30)</formula>
    </cfRule>
  </conditionalFormatting>
  <conditionalFormatting sqref="L6:L55">
    <cfRule type="expression" priority="15" aboveAverage="0" equalAverage="0" bottom="0" percent="0" rank="0" text="" dxfId="5">
      <formula>AND(L6&lt;&gt;"",ISNUMBER(L6),L6&lt;TODAY())</formula>
    </cfRule>
    <cfRule type="expression" priority="16" aboveAverage="0" equalAverage="0" bottom="0" percent="0" rank="0" text="" dxfId="6">
      <formula>AND(L6&lt;&gt;"",ISNUMBER(L6),L6&gt;=TODAY(),L6&lt;=TODAY()+30)</formula>
    </cfRule>
    <cfRule type="expression" priority="17" aboveAverage="0" equalAverage="0" bottom="0" percent="0" rank="0" text="" dxfId="7">
      <formula>AND(L6&lt;&gt;"",ISNUMBER(L6),L6&gt;TODAY()+30)</formula>
    </cfRule>
  </conditionalFormatting>
  <conditionalFormatting sqref="M6:M55">
    <cfRule type="expression" priority="18" aboveAverage="0" equalAverage="0" bottom="0" percent="0" rank="0" text="" dxfId="5">
      <formula>AND(M6&lt;&gt;"",ISNUMBER(M6),M6&lt;TODAY())</formula>
    </cfRule>
    <cfRule type="expression" priority="19" aboveAverage="0" equalAverage="0" bottom="0" percent="0" rank="0" text="" dxfId="6">
      <formula>AND(M6&lt;&gt;"",ISNUMBER(M6),M6&gt;=TODAY(),M6&lt;=TODAY()+30)</formula>
    </cfRule>
    <cfRule type="expression" priority="20" aboveAverage="0" equalAverage="0" bottom="0" percent="0" rank="0" text="" dxfId="7">
      <formula>AND(M6&lt;&gt;"",ISNUMBER(M6),M6&gt;TODAY()+30)</formula>
    </cfRule>
  </conditionalFormatting>
  <conditionalFormatting sqref="N6:N55">
    <cfRule type="expression" priority="21" aboveAverage="0" equalAverage="0" bottom="0" percent="0" rank="0" text="" dxfId="5">
      <formula>AND(N6&lt;&gt;"",ISNUMBER(N6),N6&lt;TODAY())</formula>
    </cfRule>
    <cfRule type="expression" priority="22" aboveAverage="0" equalAverage="0" bottom="0" percent="0" rank="0" text="" dxfId="6">
      <formula>AND(N6&lt;&gt;"",ISNUMBER(N6),N6&gt;=TODAY(),N6&lt;=TODAY()+30)</formula>
    </cfRule>
    <cfRule type="expression" priority="23" aboveAverage="0" equalAverage="0" bottom="0" percent="0" rank="0" text="" dxfId="7">
      <formula>AND(N6&lt;&gt;"",ISNUMBER(N6),N6&gt;TODAY()+30)</formula>
    </cfRule>
  </conditionalFormatting>
  <conditionalFormatting sqref="O6:O55">
    <cfRule type="expression" priority="24" aboveAverage="0" equalAverage="0" bottom="0" percent="0" rank="0" text="" dxfId="5">
      <formula>AND(O6&lt;&gt;"",ISNUMBER(O6),O6&lt;TODAY())</formula>
    </cfRule>
    <cfRule type="expression" priority="25" aboveAverage="0" equalAverage="0" bottom="0" percent="0" rank="0" text="" dxfId="6">
      <formula>AND(O6&lt;&gt;"",ISNUMBER(O6),O6&gt;=TODAY(),O6&lt;=TODAY()+30)</formula>
    </cfRule>
    <cfRule type="expression" priority="26" aboveAverage="0" equalAverage="0" bottom="0" percent="0" rank="0" text="" dxfId="7">
      <formula>AND(O6&lt;&gt;"",ISNUMBER(O6),O6&gt;TODAY()+30)</formula>
    </cfRule>
  </conditionalFormatting>
  <conditionalFormatting sqref="P6:P55">
    <cfRule type="expression" priority="27" aboveAverage="0" equalAverage="0" bottom="0" percent="0" rank="0" text="" dxfId="5">
      <formula>AND(P6&lt;&gt;"",ISNUMBER(P6),P6&lt;TODAY())</formula>
    </cfRule>
    <cfRule type="expression" priority="28" aboveAverage="0" equalAverage="0" bottom="0" percent="0" rank="0" text="" dxfId="6">
      <formula>AND(P6&lt;&gt;"",ISNUMBER(P6),P6&gt;=TODAY(),P6&lt;=TODAY()+30)</formula>
    </cfRule>
    <cfRule type="expression" priority="29" aboveAverage="0" equalAverage="0" bottom="0" percent="0" rank="0" text="" dxfId="7">
      <formula>AND(P6&lt;&gt;"",ISNUMBER(P6),P6&gt;TODAY()+30)</formula>
    </cfRule>
  </conditionalFormatting>
  <conditionalFormatting sqref="G6:G55">
    <cfRule type="expression" priority="30" aboveAverage="0" equalAverage="0" bottom="0" percent="0" rank="0" text="" dxfId="5">
      <formula>AND(G6&lt;&gt;"",ISNUMBER(G6),G6&lt;DATE(YEAR(TODAY()),MONTH(TODAY())-1,1))</formula>
    </cfRule>
    <cfRule type="expression" priority="31" aboveAverage="0" equalAverage="0" bottom="0" percent="0" rank="0" text="" dxfId="7">
      <formula>AND(G6&lt;&gt;"",ISNUMBER(G6),G6&gt;=DATE(YEAR(TODAY()),MONTH(TODAY())-1,1))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8"/>
    <col collapsed="false" customWidth="true" hidden="false" outlineLevel="0" max="4" min="4" style="0" width="14"/>
  </cols>
  <sheetData>
    <row r="1" customFormat="false" ht="54.75" hidden="false" customHeight="true" outlineLevel="0" collapsed="false">
      <c r="A1" s="16" t="s">
        <v>22</v>
      </c>
      <c r="B1" s="16"/>
      <c r="C1" s="16"/>
      <c r="D1" s="16"/>
    </row>
    <row r="2" customFormat="false" ht="21.75" hidden="false" customHeight="true" outlineLevel="0" collapsed="false">
      <c r="A2" s="17" t="s">
        <v>5</v>
      </c>
      <c r="B2" s="17" t="s">
        <v>23</v>
      </c>
      <c r="C2" s="17" t="s">
        <v>24</v>
      </c>
      <c r="D2" s="17" t="s">
        <v>25</v>
      </c>
    </row>
    <row r="3" customFormat="false" ht="18" hidden="false" customHeight="true" outlineLevel="0" collapsed="false">
      <c r="A3" s="18" t="n">
        <v>1</v>
      </c>
      <c r="B3" s="19" t="s">
        <v>26</v>
      </c>
      <c r="C3" s="19" t="s">
        <v>27</v>
      </c>
      <c r="D3" s="19" t="s">
        <v>28</v>
      </c>
    </row>
    <row r="4" customFormat="false" ht="18" hidden="false" customHeight="true" outlineLevel="0" collapsed="false">
      <c r="A4" s="20" t="n">
        <v>2</v>
      </c>
      <c r="B4" s="21" t="s">
        <v>29</v>
      </c>
      <c r="C4" s="21" t="s">
        <v>30</v>
      </c>
      <c r="D4" s="21" t="s">
        <v>28</v>
      </c>
    </row>
    <row r="5" customFormat="false" ht="18" hidden="false" customHeight="true" outlineLevel="0" collapsed="false">
      <c r="A5" s="18" t="n">
        <v>3</v>
      </c>
      <c r="B5" s="19" t="s">
        <v>31</v>
      </c>
      <c r="C5" s="19" t="s">
        <v>32</v>
      </c>
      <c r="D5" s="19" t="s">
        <v>28</v>
      </c>
    </row>
    <row r="6" customFormat="false" ht="18" hidden="false" customHeight="true" outlineLevel="0" collapsed="false">
      <c r="A6" s="20" t="n">
        <v>4</v>
      </c>
      <c r="B6" s="21" t="s">
        <v>33</v>
      </c>
      <c r="C6" s="21" t="s">
        <v>34</v>
      </c>
      <c r="D6" s="21" t="s">
        <v>28</v>
      </c>
    </row>
    <row r="7" customFormat="false" ht="18" hidden="false" customHeight="true" outlineLevel="0" collapsed="false">
      <c r="A7" s="18" t="n">
        <v>5</v>
      </c>
      <c r="B7" s="19" t="s">
        <v>35</v>
      </c>
      <c r="C7" s="19" t="s">
        <v>35</v>
      </c>
      <c r="D7" s="19" t="s">
        <v>28</v>
      </c>
    </row>
    <row r="8" customFormat="false" ht="18" hidden="false" customHeight="true" outlineLevel="0" collapsed="false">
      <c r="A8" s="20" t="n">
        <v>6</v>
      </c>
      <c r="B8" s="21" t="s">
        <v>36</v>
      </c>
      <c r="C8" s="21" t="s">
        <v>36</v>
      </c>
      <c r="D8" s="21" t="s">
        <v>28</v>
      </c>
    </row>
    <row r="9" customFormat="false" ht="18" hidden="false" customHeight="true" outlineLevel="0" collapsed="false">
      <c r="A9" s="18" t="n">
        <v>7</v>
      </c>
      <c r="B9" s="19" t="s">
        <v>37</v>
      </c>
      <c r="C9" s="19" t="s">
        <v>38</v>
      </c>
      <c r="D9" s="19" t="s">
        <v>28</v>
      </c>
    </row>
    <row r="10" customFormat="false" ht="18" hidden="false" customHeight="true" outlineLevel="0" collapsed="false">
      <c r="A10" s="20" t="n">
        <v>8</v>
      </c>
      <c r="B10" s="21" t="s">
        <v>39</v>
      </c>
      <c r="C10" s="21" t="s">
        <v>40</v>
      </c>
      <c r="D10" s="21" t="s">
        <v>28</v>
      </c>
    </row>
    <row r="11" customFormat="false" ht="18" hidden="false" customHeight="true" outlineLevel="0" collapsed="false">
      <c r="A11" s="18" t="n">
        <v>9</v>
      </c>
      <c r="B11" s="19" t="s">
        <v>41</v>
      </c>
      <c r="C11" s="19" t="s">
        <v>42</v>
      </c>
      <c r="D11" s="19" t="s">
        <v>28</v>
      </c>
    </row>
    <row r="12" customFormat="false" ht="18" hidden="false" customHeight="true" outlineLevel="0" collapsed="false">
      <c r="A12" s="20" t="n">
        <v>10</v>
      </c>
      <c r="B12" s="21" t="s">
        <v>43</v>
      </c>
      <c r="C12" s="21" t="s">
        <v>44</v>
      </c>
      <c r="D12" s="21" t="s">
        <v>28</v>
      </c>
    </row>
    <row r="13" customFormat="false" ht="18" hidden="false" customHeight="true" outlineLevel="0" collapsed="false">
      <c r="A13" s="18" t="n">
        <v>11</v>
      </c>
      <c r="B13" s="19" t="s">
        <v>45</v>
      </c>
      <c r="C13" s="19" t="s">
        <v>46</v>
      </c>
      <c r="D13" s="19" t="s">
        <v>28</v>
      </c>
    </row>
    <row r="14" customFormat="false" ht="18" hidden="false" customHeight="true" outlineLevel="0" collapsed="false">
      <c r="A14" s="20" t="n">
        <v>12</v>
      </c>
      <c r="B14" s="21" t="s">
        <v>47</v>
      </c>
      <c r="C14" s="21" t="s">
        <v>48</v>
      </c>
      <c r="D14" s="21" t="s">
        <v>28</v>
      </c>
    </row>
    <row r="15" customFormat="false" ht="18" hidden="false" customHeight="true" outlineLevel="0" collapsed="false">
      <c r="A15" s="18" t="n">
        <v>13</v>
      </c>
      <c r="B15" s="19" t="s">
        <v>49</v>
      </c>
      <c r="C15" s="19" t="s">
        <v>50</v>
      </c>
      <c r="D15" s="19" t="s">
        <v>28</v>
      </c>
    </row>
    <row r="16" customFormat="false" ht="18" hidden="false" customHeight="true" outlineLevel="0" collapsed="false">
      <c r="A16" s="20" t="n">
        <v>14</v>
      </c>
      <c r="B16" s="21" t="s">
        <v>51</v>
      </c>
      <c r="C16" s="21" t="s">
        <v>52</v>
      </c>
      <c r="D16" s="21" t="s">
        <v>28</v>
      </c>
    </row>
    <row r="17" customFormat="false" ht="18" hidden="false" customHeight="true" outlineLevel="0" collapsed="false">
      <c r="A17" s="18" t="n">
        <v>15</v>
      </c>
      <c r="B17" s="19" t="s">
        <v>53</v>
      </c>
      <c r="C17" s="19" t="s">
        <v>53</v>
      </c>
      <c r="D17" s="19" t="s">
        <v>28</v>
      </c>
    </row>
    <row r="18" customFormat="false" ht="18" hidden="false" customHeight="true" outlineLevel="0" collapsed="false">
      <c r="A18" s="20" t="n">
        <v>16</v>
      </c>
      <c r="B18" s="21" t="s">
        <v>54</v>
      </c>
      <c r="C18" s="21"/>
      <c r="D18" s="21" t="s">
        <v>28</v>
      </c>
    </row>
    <row r="19" customFormat="false" ht="18" hidden="false" customHeight="true" outlineLevel="0" collapsed="false">
      <c r="A19" s="18" t="n">
        <v>17</v>
      </c>
      <c r="B19" s="19" t="s">
        <v>55</v>
      </c>
      <c r="C19" s="19" t="s">
        <v>56</v>
      </c>
      <c r="D19" s="19" t="s">
        <v>28</v>
      </c>
    </row>
    <row r="20" customFormat="false" ht="18" hidden="false" customHeight="true" outlineLevel="0" collapsed="false">
      <c r="A20" s="20" t="n">
        <v>18</v>
      </c>
      <c r="B20" s="21" t="s">
        <v>57</v>
      </c>
      <c r="C20" s="21" t="s">
        <v>58</v>
      </c>
      <c r="D20" s="21" t="s">
        <v>28</v>
      </c>
    </row>
    <row r="21" customFormat="false" ht="18" hidden="false" customHeight="true" outlineLevel="0" collapsed="false">
      <c r="A21" s="18" t="n">
        <v>19</v>
      </c>
      <c r="B21" s="19" t="s">
        <v>59</v>
      </c>
      <c r="C21" s="19" t="s">
        <v>59</v>
      </c>
      <c r="D21" s="19" t="s">
        <v>28</v>
      </c>
    </row>
    <row r="22" customFormat="false" ht="18" hidden="false" customHeight="true" outlineLevel="0" collapsed="false">
      <c r="A22" s="20" t="n">
        <v>20</v>
      </c>
      <c r="B22" s="21" t="s">
        <v>60</v>
      </c>
      <c r="C22" s="21" t="s">
        <v>61</v>
      </c>
      <c r="D22" s="21" t="s">
        <v>28</v>
      </c>
    </row>
    <row r="23" customFormat="false" ht="18" hidden="false" customHeight="true" outlineLevel="0" collapsed="false">
      <c r="A23" s="18" t="n">
        <v>21</v>
      </c>
      <c r="B23" s="19" t="s">
        <v>62</v>
      </c>
      <c r="C23" s="19" t="s">
        <v>63</v>
      </c>
      <c r="D23" s="19" t="s">
        <v>28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2026-10-28T15:14:10Z</dcterms:created>
  <dc:creator>openpyxl</dc:creator>
  <dc:description/>
  <dc:language>en-US</dc:language>
  <cp:lastModifiedBy/>
  <dcterms:modified xsi:type="dcterms:W3CDTF">2026-10-28T15:14:10Z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