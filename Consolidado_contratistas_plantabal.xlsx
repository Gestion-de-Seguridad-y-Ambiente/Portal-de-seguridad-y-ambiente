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4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N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vencimiento)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vencimiento)</t>
        </is>
      </c>
      <c r="J5" s="22" t="inlineStr">
        <is>
          <t>Cert. Médico
Vigente</t>
        </is>
      </c>
      <c r="K5" s="8" t="inlineStr">
        <is>
          <t>Aptitud de Ingreso</t>
        </is>
      </c>
      <c r="L5" s="22" t="inlineStr">
        <is>
          <t>Aptitud
(Ingreso manual)</t>
        </is>
      </c>
      <c r="M5" s="8" t="inlineStr">
        <is>
          <t>¿ACCESO
A PLANTA?</t>
        </is>
      </c>
      <c r="N5" s="9" t="inlineStr">
        <is>
          <t>Cert. Prevención
Riesgos Eléctricos
(Caducidad)</t>
        </is>
      </c>
      <c r="O5" s="9" t="inlineStr">
        <is>
          <t>Cert. Trabajos
en Altura
(Caducidad)</t>
        </is>
      </c>
      <c r="P5" s="9" t="inlineStr">
        <is>
          <t>Cert. Espacios
Confinados
(Caducidad)</t>
        </is>
      </c>
      <c r="Q5" s="9" t="inlineStr">
        <is>
          <t>Cert. Trabajos
en Caliente
(Caducidad)</t>
        </is>
      </c>
      <c r="R5" s="9" t="inlineStr">
        <is>
          <t>Cert. Prevención
de Riesgos
(Caducidad)</t>
        </is>
      </c>
      <c r="S5" s="9" t="inlineStr">
        <is>
          <t>Curso Primeros
Auxilios
(Fecha emisión)</t>
        </is>
      </c>
      <c r="T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IF(F6="","",IF(F6&gt;=TODAY(),"✔ Vigente","✘ Vencido"))</f>
        <v/>
      </c>
      <c r="H6" s="12" t="n">
        <v>46266</v>
      </c>
      <c r="I6" s="12" t="n">
        <v>46478</v>
      </c>
      <c r="J6" s="13">
        <f>IF(I6="","",IF(I6&gt;=TODAY(),"✔ Vigente","✘ Vencido"))</f>
        <v/>
      </c>
      <c r="K6" s="13">
        <f>IF(J6="✘ Vencido","NO APTO",IF(L6="","",UPPER(L6)))</f>
        <v/>
      </c>
      <c r="L6" s="13" t="n"/>
      <c r="M6" s="14">
        <f>IF(AND(G6="✔ Vigente",H6&lt;&gt;"",ISNUMBER(H6),H6&gt;=DATE(YEAR(TODAY()),MONTH(TODAY())-1,1),J6="✔ Vigente",K6="APTO"),"✔ ACCESO PERMITIDO","✘ SIN ACCESO")</f>
        <v/>
      </c>
      <c r="N6" s="12" t="n">
        <v>47481</v>
      </c>
      <c r="O6" s="12" t="n"/>
      <c r="P6" s="12" t="n"/>
      <c r="Q6" s="12" t="n"/>
      <c r="R6" s="12" t="n">
        <v>47392</v>
      </c>
      <c r="S6" s="12" t="n"/>
      <c r="T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IF(F7="","",IF(F7&gt;=TODAY(),"✔ Vigente","✘ Vencido"))</f>
        <v/>
      </c>
      <c r="H7" s="12" t="n"/>
      <c r="I7" s="12" t="n"/>
      <c r="J7" s="13">
        <f>IF(I7="","",IF(I7&gt;=TODAY(),"✔ Vigente","✘ Vencido"))</f>
        <v/>
      </c>
      <c r="K7" s="13">
        <f>IF(J7="✘ Vencido","NO APTO",IF(L7="","",UPPER(L7)))</f>
        <v/>
      </c>
      <c r="L7" s="13" t="n"/>
      <c r="M7" s="16">
        <f>IF(AND(G7="✔ Vigente",H7&lt;&gt;"",ISNUMBER(H7),H7&gt;=DATE(YEAR(TODAY()),MONTH(TODAY())-1,1),J7="✔ Vigente",K7="APTO"),"✔ ACCESO PERMITIDO","✘ SIN ACCESO")</f>
        <v/>
      </c>
      <c r="N7" s="12" t="n"/>
      <c r="O7" s="12" t="n"/>
      <c r="P7" s="12" t="n"/>
      <c r="Q7" s="12" t="n"/>
      <c r="R7" s="12" t="n"/>
      <c r="S7" s="12" t="n"/>
      <c r="T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IF(F8="","",IF(F8&gt;=TODAY(),"✔ Vigente","✘ Vencido"))</f>
        <v/>
      </c>
      <c r="H8" s="12" t="n"/>
      <c r="I8" s="12" t="n"/>
      <c r="J8" s="13">
        <f>IF(I8="","",IF(I8&gt;=TODAY(),"✔ Vigente","✘ Vencido"))</f>
        <v/>
      </c>
      <c r="K8" s="13">
        <f>IF(J8="✘ Vencido","NO APTO",IF(L8="","",UPPER(L8)))</f>
        <v/>
      </c>
      <c r="L8" s="13" t="n"/>
      <c r="M8" s="14">
        <f>IF(AND(G8="✔ Vigente",H8&lt;&gt;"",ISNUMBER(H8),H8&gt;=DATE(YEAR(TODAY()),MONTH(TODAY())-1,1),J8="✔ Vigente",K8="APTO"),"✔ ACCESO PERMITIDO","✘ SIN ACCESO")</f>
        <v/>
      </c>
      <c r="N8" s="12" t="n"/>
      <c r="O8" s="12" t="n"/>
      <c r="P8" s="12" t="n"/>
      <c r="Q8" s="12" t="n"/>
      <c r="R8" s="12" t="n"/>
      <c r="S8" s="12" t="n"/>
      <c r="T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IF(F9="","",IF(F9&gt;=TODAY(),"✔ Vigente","✘ Vencido"))</f>
        <v/>
      </c>
      <c r="H9" s="12" t="n"/>
      <c r="I9" s="12" t="n"/>
      <c r="J9" s="13">
        <f>IF(I9="","",IF(I9&gt;=TODAY(),"✔ Vigente","✘ Vencido"))</f>
        <v/>
      </c>
      <c r="K9" s="13">
        <f>IF(J9="✘ Vencido","NO APTO",IF(L9="","",UPPER(L9)))</f>
        <v/>
      </c>
      <c r="L9" s="13" t="n"/>
      <c r="M9" s="16">
        <f>IF(AND(G9="✔ Vigente",H9&lt;&gt;"",ISNUMBER(H9),H9&gt;=DATE(YEAR(TODAY()),MONTH(TODAY())-1,1),J9="✔ Vigente",K9="APTO"),"✔ ACCESO PERMITIDO","✘ SIN ACCESO")</f>
        <v/>
      </c>
      <c r="N9" s="12" t="n"/>
      <c r="O9" s="12" t="n"/>
      <c r="P9" s="12" t="n"/>
      <c r="Q9" s="12" t="n"/>
      <c r="R9" s="12" t="n"/>
      <c r="S9" s="12" t="n"/>
      <c r="T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IF(F10="","",IF(F10&gt;=TODAY(),"✔ Vigente","✘ Vencido"))</f>
        <v/>
      </c>
      <c r="H10" s="12" t="n"/>
      <c r="I10" s="12" t="n"/>
      <c r="J10" s="13">
        <f>IF(I10="","",IF(I10&gt;=TODAY(),"✔ Vigente","✘ Vencido"))</f>
        <v/>
      </c>
      <c r="K10" s="13">
        <f>IF(J10="✘ Vencido","NO APTO",IF(L10="","",UPPER(L10)))</f>
        <v/>
      </c>
      <c r="L10" s="13" t="n"/>
      <c r="M10" s="14">
        <f>IF(AND(G10="✔ Vigente",H10&lt;&gt;"",ISNUMBER(H10),H10&gt;=DATE(YEAR(TODAY()),MONTH(TODAY())-1,1),J10="✔ Vigente",K10="APTO"),"✔ ACCESO PERMITIDO","✘ SIN ACCESO")</f>
        <v/>
      </c>
      <c r="N10" s="12" t="n"/>
      <c r="O10" s="12" t="n"/>
      <c r="P10" s="12" t="n"/>
      <c r="Q10" s="12" t="n"/>
      <c r="R10" s="12" t="n"/>
      <c r="S10" s="12" t="n"/>
      <c r="T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IF(F11="","",IF(F11&gt;=TODAY(),"✔ Vigente","✘ Vencido"))</f>
        <v/>
      </c>
      <c r="H11" s="12" t="n"/>
      <c r="I11" s="12" t="n"/>
      <c r="J11" s="13">
        <f>IF(I11="","",IF(I11&gt;=TODAY(),"✔ Vigente","✘ Vencido"))</f>
        <v/>
      </c>
      <c r="K11" s="13">
        <f>IF(J11="✘ Vencido","NO APTO",IF(L11="","",UPPER(L11)))</f>
        <v/>
      </c>
      <c r="L11" s="13" t="n"/>
      <c r="M11" s="16">
        <f>IF(AND(G11="✔ Vigente",H11&lt;&gt;"",ISNUMBER(H11),H11&gt;=DATE(YEAR(TODAY()),MONTH(TODAY())-1,1),J11="✔ Vigente",K11="APTO"),"✔ ACCESO PERMITIDO","✘ SIN ACCESO")</f>
        <v/>
      </c>
      <c r="N11" s="12" t="n"/>
      <c r="O11" s="12" t="n"/>
      <c r="P11" s="12" t="n"/>
      <c r="Q11" s="12" t="n"/>
      <c r="R11" s="12" t="n"/>
      <c r="S11" s="12" t="n"/>
      <c r="T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IF(F12="","",IF(F12&gt;=TODAY(),"✔ Vigente","✘ Vencido"))</f>
        <v/>
      </c>
      <c r="H12" s="12" t="n"/>
      <c r="I12" s="12" t="n"/>
      <c r="J12" s="13">
        <f>IF(I12="","",IF(I12&gt;=TODAY(),"✔ Vigente","✘ Vencido"))</f>
        <v/>
      </c>
      <c r="K12" s="13">
        <f>IF(J12="✘ Vencido","NO APTO",IF(L12="","",UPPER(L12)))</f>
        <v/>
      </c>
      <c r="L12" s="13" t="n"/>
      <c r="M12" s="14">
        <f>IF(AND(G12="✔ Vigente",H12&lt;&gt;"",ISNUMBER(H12),H12&gt;=DATE(YEAR(TODAY()),MONTH(TODAY())-1,1),J12="✔ Vigente",K12="APTO"),"✔ ACCESO PERMITIDO","✘ SIN ACCESO")</f>
        <v/>
      </c>
      <c r="N12" s="12" t="n"/>
      <c r="O12" s="12" t="n"/>
      <c r="P12" s="12" t="n"/>
      <c r="Q12" s="12" t="n"/>
      <c r="R12" s="12" t="n"/>
      <c r="S12" s="12" t="n"/>
      <c r="T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IF(F13="","",IF(F13&gt;=TODAY(),"✔ Vigente","✘ Vencido"))</f>
        <v/>
      </c>
      <c r="H13" s="12" t="n"/>
      <c r="I13" s="12" t="n"/>
      <c r="J13" s="13">
        <f>IF(I13="","",IF(I13&gt;=TODAY(),"✔ Vigente","✘ Vencido"))</f>
        <v/>
      </c>
      <c r="K13" s="13">
        <f>IF(J13="✘ Vencido","NO APTO",IF(L13="","",UPPER(L13)))</f>
        <v/>
      </c>
      <c r="L13" s="13" t="n"/>
      <c r="M13" s="16">
        <f>IF(AND(G13="✔ Vigente",H13&lt;&gt;"",ISNUMBER(H13),H13&gt;=DATE(YEAR(TODAY()),MONTH(TODAY())-1,1),J13="✔ Vigente",K13="APTO"),"✔ ACCESO PERMITIDO","✘ SIN ACCESO")</f>
        <v/>
      </c>
      <c r="N13" s="12" t="n"/>
      <c r="O13" s="12" t="n"/>
      <c r="P13" s="12" t="n"/>
      <c r="Q13" s="12" t="n"/>
      <c r="R13" s="12" t="n"/>
      <c r="S13" s="12" t="n"/>
      <c r="T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IF(F14="","",IF(F14&gt;=TODAY(),"✔ Vigente","✘ Vencido"))</f>
        <v/>
      </c>
      <c r="H14" s="12" t="n"/>
      <c r="I14" s="12" t="n"/>
      <c r="J14" s="13">
        <f>IF(I14="","",IF(I14&gt;=TODAY(),"✔ Vigente","✘ Vencido"))</f>
        <v/>
      </c>
      <c r="K14" s="13">
        <f>IF(J14="✘ Vencido","NO APTO",IF(L14="","",UPPER(L14)))</f>
        <v/>
      </c>
      <c r="L14" s="13" t="n"/>
      <c r="M14" s="14">
        <f>IF(AND(G14="✔ Vigente",H14&lt;&gt;"",ISNUMBER(H14),H14&gt;=DATE(YEAR(TODAY()),MONTH(TODAY())-1,1),J14="✔ Vigente",K14="APTO"),"✔ ACCESO PERMITIDO","✘ SIN ACCESO")</f>
        <v/>
      </c>
      <c r="N14" s="12" t="n"/>
      <c r="O14" s="12" t="n"/>
      <c r="P14" s="12" t="n"/>
      <c r="Q14" s="12" t="n"/>
      <c r="R14" s="12" t="n"/>
      <c r="S14" s="12" t="n"/>
      <c r="T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IF(F15="","",IF(F15&gt;=TODAY(),"✔ Vigente","✘ Vencido"))</f>
        <v/>
      </c>
      <c r="H15" s="12" t="n"/>
      <c r="I15" s="12" t="n"/>
      <c r="J15" s="13">
        <f>IF(I15="","",IF(I15&gt;=TODAY(),"✔ Vigente","✘ Vencido"))</f>
        <v/>
      </c>
      <c r="K15" s="13">
        <f>IF(J15="✘ Vencido","NO APTO",IF(L15="","",UPPER(L15)))</f>
        <v/>
      </c>
      <c r="L15" s="13" t="n"/>
      <c r="M15" s="16">
        <f>IF(AND(G15="✔ Vigente",H15&lt;&gt;"",ISNUMBER(H15),H15&gt;=DATE(YEAR(TODAY()),MONTH(TODAY())-1,1),J15="✔ Vigente",K15="APTO"),"✔ ACCESO PERMITIDO","✘ SIN ACCESO")</f>
        <v/>
      </c>
      <c r="N15" s="12" t="n"/>
      <c r="O15" s="12" t="n"/>
      <c r="P15" s="12" t="n"/>
      <c r="Q15" s="12" t="n"/>
      <c r="R15" s="12" t="n"/>
      <c r="S15" s="12" t="n"/>
      <c r="T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IF(F16="","",IF(F16&gt;=TODAY(),"✔ Vigente","✘ Vencido"))</f>
        <v/>
      </c>
      <c r="H16" s="12" t="n"/>
      <c r="I16" s="12" t="n"/>
      <c r="J16" s="13">
        <f>IF(I16="","",IF(I16&gt;=TODAY(),"✔ Vigente","✘ Vencido"))</f>
        <v/>
      </c>
      <c r="K16" s="13">
        <f>IF(J16="✘ Vencido","NO APTO",IF(L16="","",UPPER(L16)))</f>
        <v/>
      </c>
      <c r="L16" s="13" t="n"/>
      <c r="M16" s="14">
        <f>IF(AND(G16="✔ Vigente",H16&lt;&gt;"",ISNUMBER(H16),H16&gt;=DATE(YEAR(TODAY()),MONTH(TODAY())-1,1),J16="✔ Vigente",K16="APTO"),"✔ ACCESO PERMITIDO","✘ SIN ACCESO")</f>
        <v/>
      </c>
      <c r="N16" s="12" t="n"/>
      <c r="O16" s="12" t="n"/>
      <c r="P16" s="12" t="n"/>
      <c r="Q16" s="12" t="n"/>
      <c r="R16" s="12" t="n"/>
      <c r="S16" s="12" t="n"/>
      <c r="T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IF(F17="","",IF(F17&gt;=TODAY(),"✔ Vigente","✘ Vencido"))</f>
        <v/>
      </c>
      <c r="H17" s="12" t="n"/>
      <c r="I17" s="12" t="n"/>
      <c r="J17" s="13">
        <f>IF(I17="","",IF(I17&gt;=TODAY(),"✔ Vigente","✘ Vencido"))</f>
        <v/>
      </c>
      <c r="K17" s="13">
        <f>IF(J17="✘ Vencido","NO APTO",IF(L17="","",UPPER(L17)))</f>
        <v/>
      </c>
      <c r="L17" s="13" t="n"/>
      <c r="M17" s="16">
        <f>IF(AND(G17="✔ Vigente",H17&lt;&gt;"",ISNUMBER(H17),H17&gt;=DATE(YEAR(TODAY()),MONTH(TODAY())-1,1),J17="✔ Vigente",K17="APTO"),"✔ ACCESO PERMITIDO","✘ SIN ACCESO")</f>
        <v/>
      </c>
      <c r="N17" s="12" t="n"/>
      <c r="O17" s="12" t="n"/>
      <c r="P17" s="12" t="n"/>
      <c r="Q17" s="12" t="n"/>
      <c r="R17" s="12" t="n"/>
      <c r="S17" s="12" t="n"/>
      <c r="T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IF(F18="","",IF(F18&gt;=TODAY(),"✔ Vigente","✘ Vencido"))</f>
        <v/>
      </c>
      <c r="H18" s="12" t="n"/>
      <c r="I18" s="12" t="n"/>
      <c r="J18" s="13">
        <f>IF(I18="","",IF(I18&gt;=TODAY(),"✔ Vigente","✘ Vencido"))</f>
        <v/>
      </c>
      <c r="K18" s="13">
        <f>IF(J18="✘ Vencido","NO APTO",IF(L18="","",UPPER(L18)))</f>
        <v/>
      </c>
      <c r="L18" s="13" t="n"/>
      <c r="M18" s="14">
        <f>IF(AND(G18="✔ Vigente",H18&lt;&gt;"",ISNUMBER(H18),H18&gt;=DATE(YEAR(TODAY()),MONTH(TODAY())-1,1),J18="✔ Vigente",K18="APTO"),"✔ ACCESO PERMITIDO","✘ SIN ACCESO")</f>
        <v/>
      </c>
      <c r="N18" s="12" t="n"/>
      <c r="O18" s="12" t="n"/>
      <c r="P18" s="12" t="n"/>
      <c r="Q18" s="12" t="n"/>
      <c r="R18" s="12" t="n"/>
      <c r="S18" s="12" t="n"/>
      <c r="T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IF(F19="","",IF(F19&gt;=TODAY(),"✔ Vigente","✘ Vencido"))</f>
        <v/>
      </c>
      <c r="H19" s="12" t="n"/>
      <c r="I19" s="12" t="n"/>
      <c r="J19" s="13">
        <f>IF(I19="","",IF(I19&gt;=TODAY(),"✔ Vigente","✘ Vencido"))</f>
        <v/>
      </c>
      <c r="K19" s="13">
        <f>IF(J19="✘ Vencido","NO APTO",IF(L19="","",UPPER(L19)))</f>
        <v/>
      </c>
      <c r="L19" s="13" t="n"/>
      <c r="M19" s="16">
        <f>IF(AND(G19="✔ Vigente",H19&lt;&gt;"",ISNUMBER(H19),H19&gt;=DATE(YEAR(TODAY()),MONTH(TODAY())-1,1),J19="✔ Vigente",K19="APTO"),"✔ ACCESO PERMITIDO","✘ SIN ACCESO")</f>
        <v/>
      </c>
      <c r="N19" s="12" t="n"/>
      <c r="O19" s="12" t="n"/>
      <c r="P19" s="12" t="n"/>
      <c r="Q19" s="12" t="n"/>
      <c r="R19" s="12" t="n"/>
      <c r="S19" s="12" t="n"/>
      <c r="T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IF(F20="","",IF(F20&gt;=TODAY(),"✔ Vigente","✘ Vencido"))</f>
        <v/>
      </c>
      <c r="H20" s="12" t="n"/>
      <c r="I20" s="12" t="n"/>
      <c r="J20" s="13">
        <f>IF(I20="","",IF(I20&gt;=TODAY(),"✔ Vigente","✘ Vencido"))</f>
        <v/>
      </c>
      <c r="K20" s="13">
        <f>IF(J20="✘ Vencido","NO APTO",IF(L20="","",UPPER(L20)))</f>
        <v/>
      </c>
      <c r="L20" s="13" t="n"/>
      <c r="M20" s="14">
        <f>IF(AND(G20="✔ Vigente",H20&lt;&gt;"",ISNUMBER(H20),H20&gt;=DATE(YEAR(TODAY()),MONTH(TODAY())-1,1),J20="✔ Vigente",K20="APTO"),"✔ ACCESO PERMITIDO","✘ SIN ACCESO")</f>
        <v/>
      </c>
      <c r="N20" s="12" t="n"/>
      <c r="O20" s="12" t="n"/>
      <c r="P20" s="12" t="n"/>
      <c r="Q20" s="12" t="n"/>
      <c r="R20" s="12" t="n"/>
      <c r="S20" s="12" t="n"/>
      <c r="T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IF(F21="","",IF(F21&gt;=TODAY(),"✔ Vigente","✘ Vencido"))</f>
        <v/>
      </c>
      <c r="H21" s="12" t="n"/>
      <c r="I21" s="12" t="n"/>
      <c r="J21" s="13">
        <f>IF(I21="","",IF(I21&gt;=TODAY(),"✔ Vigente","✘ Vencido"))</f>
        <v/>
      </c>
      <c r="K21" s="13">
        <f>IF(J21="✘ Vencido","NO APTO",IF(L21="","",UPPER(L21)))</f>
        <v/>
      </c>
      <c r="L21" s="13" t="n"/>
      <c r="M21" s="16">
        <f>IF(AND(G21="✔ Vigente",H21&lt;&gt;"",ISNUMBER(H21),H21&gt;=DATE(YEAR(TODAY()),MONTH(TODAY())-1,1),J21="✔ Vigente",K21="APTO"),"✔ ACCESO PERMITIDO","✘ SIN ACCESO")</f>
        <v/>
      </c>
      <c r="N21" s="12" t="n"/>
      <c r="O21" s="12" t="n"/>
      <c r="P21" s="12" t="n"/>
      <c r="Q21" s="12" t="n"/>
      <c r="R21" s="12" t="n"/>
      <c r="S21" s="12" t="n"/>
      <c r="T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IF(F22="","",IF(F22&gt;=TODAY(),"✔ Vigente","✘ Vencido"))</f>
        <v/>
      </c>
      <c r="H22" s="12" t="n"/>
      <c r="I22" s="12" t="n"/>
      <c r="J22" s="13">
        <f>IF(I22="","",IF(I22&gt;=TODAY(),"✔ Vigente","✘ Vencido"))</f>
        <v/>
      </c>
      <c r="K22" s="13">
        <f>IF(J22="✘ Vencido","NO APTO",IF(L22="","",UPPER(L22)))</f>
        <v/>
      </c>
      <c r="L22" s="13" t="n"/>
      <c r="M22" s="14">
        <f>IF(AND(G22="✔ Vigente",H22&lt;&gt;"",ISNUMBER(H22),H22&gt;=DATE(YEAR(TODAY()),MONTH(TODAY())-1,1),J22="✔ Vigente",K22="APTO"),"✔ ACCESO PERMITIDO","✘ SIN ACCESO")</f>
        <v/>
      </c>
      <c r="N22" s="12" t="n"/>
      <c r="O22" s="12" t="n"/>
      <c r="P22" s="12" t="n"/>
      <c r="Q22" s="12" t="n"/>
      <c r="R22" s="12" t="n"/>
      <c r="S22" s="12" t="n"/>
      <c r="T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IF(F23="","",IF(F23&gt;=TODAY(),"✔ Vigente","✘ Vencido"))</f>
        <v/>
      </c>
      <c r="H23" s="12" t="n"/>
      <c r="I23" s="12" t="n"/>
      <c r="J23" s="13">
        <f>IF(I23="","",IF(I23&gt;=TODAY(),"✔ Vigente","✘ Vencido"))</f>
        <v/>
      </c>
      <c r="K23" s="13">
        <f>IF(J23="✘ Vencido","NO APTO",IF(L23="","",UPPER(L23)))</f>
        <v/>
      </c>
      <c r="L23" s="13" t="n"/>
      <c r="M23" s="16">
        <f>IF(AND(G23="✔ Vigente",H23&lt;&gt;"",ISNUMBER(H23),H23&gt;=DATE(YEAR(TODAY()),MONTH(TODAY())-1,1),J23="✔ Vigente",K23="APTO"),"✔ ACCESO PERMITIDO","✘ SIN ACCESO")</f>
        <v/>
      </c>
      <c r="N23" s="12" t="n"/>
      <c r="O23" s="12" t="n"/>
      <c r="P23" s="12" t="n"/>
      <c r="Q23" s="12" t="n"/>
      <c r="R23" s="12" t="n"/>
      <c r="S23" s="12" t="n"/>
      <c r="T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IF(F24="","",IF(F24&gt;=TODAY(),"✔ Vigente","✘ Vencido"))</f>
        <v/>
      </c>
      <c r="H24" s="12" t="n"/>
      <c r="I24" s="12" t="n"/>
      <c r="J24" s="13">
        <f>IF(I24="","",IF(I24&gt;=TODAY(),"✔ Vigente","✘ Vencido"))</f>
        <v/>
      </c>
      <c r="K24" s="13">
        <f>IF(J24="✘ Vencido","NO APTO",IF(L24="","",UPPER(L24)))</f>
        <v/>
      </c>
      <c r="L24" s="13" t="n"/>
      <c r="M24" s="14">
        <f>IF(AND(G24="✔ Vigente",H24&lt;&gt;"",ISNUMBER(H24),H24&gt;=DATE(YEAR(TODAY()),MONTH(TODAY())-1,1),J24="✔ Vigente",K24="APTO"),"✔ ACCESO PERMITIDO","✘ SIN ACCESO")</f>
        <v/>
      </c>
      <c r="N24" s="12" t="n"/>
      <c r="O24" s="12" t="n"/>
      <c r="P24" s="12" t="n"/>
      <c r="Q24" s="12" t="n"/>
      <c r="R24" s="12" t="n"/>
      <c r="S24" s="12" t="n"/>
      <c r="T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IF(F25="","",IF(F25&gt;=TODAY(),"✔ Vigente","✘ Vencido"))</f>
        <v/>
      </c>
      <c r="H25" s="12" t="n"/>
      <c r="I25" s="12" t="n"/>
      <c r="J25" s="13">
        <f>IF(I25="","",IF(I25&gt;=TODAY(),"✔ Vigente","✘ Vencido"))</f>
        <v/>
      </c>
      <c r="K25" s="13">
        <f>IF(J25="✘ Vencido","NO APTO",IF(L25="","",UPPER(L25)))</f>
        <v/>
      </c>
      <c r="L25" s="13" t="n"/>
      <c r="M25" s="16">
        <f>IF(AND(G25="✔ Vigente",H25&lt;&gt;"",ISNUMBER(H25),H25&gt;=DATE(YEAR(TODAY()),MONTH(TODAY())-1,1),J25="✔ Vigente",K25="APTO"),"✔ ACCESO PERMITIDO","✘ SIN ACCESO")</f>
        <v/>
      </c>
      <c r="N25" s="12" t="n"/>
      <c r="O25" s="12" t="n"/>
      <c r="P25" s="12" t="n"/>
      <c r="Q25" s="12" t="n"/>
      <c r="R25" s="12" t="n"/>
      <c r="S25" s="12" t="n"/>
      <c r="T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IF(F26="","",IF(F26&gt;=TODAY(),"✔ Vigente","✘ Vencido"))</f>
        <v/>
      </c>
      <c r="H26" s="12" t="n"/>
      <c r="I26" s="12" t="n"/>
      <c r="J26" s="13">
        <f>IF(I26="","",IF(I26&gt;=TODAY(),"✔ Vigente","✘ Vencido"))</f>
        <v/>
      </c>
      <c r="K26" s="13">
        <f>IF(J26="✘ Vencido","NO APTO",IF(L26="","",UPPER(L26)))</f>
        <v/>
      </c>
      <c r="L26" s="13" t="n"/>
      <c r="M26" s="14">
        <f>IF(AND(G26="✔ Vigente",H26&lt;&gt;"",ISNUMBER(H26),H26&gt;=DATE(YEAR(TODAY()),MONTH(TODAY())-1,1),J26="✔ Vigente",K26="APTO"),"✔ ACCESO PERMITIDO","✘ SIN ACCESO")</f>
        <v/>
      </c>
      <c r="N26" s="12" t="n"/>
      <c r="O26" s="12" t="n"/>
      <c r="P26" s="12" t="n"/>
      <c r="Q26" s="12" t="n"/>
      <c r="R26" s="12" t="n"/>
      <c r="S26" s="12" t="n"/>
      <c r="T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IF(F27="","",IF(F27&gt;=TODAY(),"✔ Vigente","✘ Vencido"))</f>
        <v/>
      </c>
      <c r="H27" s="12" t="n"/>
      <c r="I27" s="12" t="n"/>
      <c r="J27" s="13">
        <f>IF(I27="","",IF(I27&gt;=TODAY(),"✔ Vigente","✘ Vencido"))</f>
        <v/>
      </c>
      <c r="K27" s="13">
        <f>IF(J27="✘ Vencido","NO APTO",IF(L27="","",UPPER(L27)))</f>
        <v/>
      </c>
      <c r="L27" s="13" t="n"/>
      <c r="M27" s="16">
        <f>IF(AND(G27="✔ Vigente",H27&lt;&gt;"",ISNUMBER(H27),H27&gt;=DATE(YEAR(TODAY()),MONTH(TODAY())-1,1),J27="✔ Vigente",K27="APTO"),"✔ ACCESO PERMITIDO","✘ SIN ACCESO")</f>
        <v/>
      </c>
      <c r="N27" s="12" t="n"/>
      <c r="O27" s="12" t="n"/>
      <c r="P27" s="12" t="n"/>
      <c r="Q27" s="12" t="n"/>
      <c r="R27" s="12" t="n"/>
      <c r="S27" s="12" t="n"/>
      <c r="T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IF(F28="","",IF(F28&gt;=TODAY(),"✔ Vigente","✘ Vencido"))</f>
        <v/>
      </c>
      <c r="H28" s="12" t="n"/>
      <c r="I28" s="12" t="n"/>
      <c r="J28" s="13">
        <f>IF(I28="","",IF(I28&gt;=TODAY(),"✔ Vigente","✘ Vencido"))</f>
        <v/>
      </c>
      <c r="K28" s="13">
        <f>IF(J28="✘ Vencido","NO APTO",IF(L28="","",UPPER(L28)))</f>
        <v/>
      </c>
      <c r="L28" s="13" t="n"/>
      <c r="M28" s="14">
        <f>IF(AND(G28="✔ Vigente",H28&lt;&gt;"",ISNUMBER(H28),H28&gt;=DATE(YEAR(TODAY()),MONTH(TODAY())-1,1),J28="✔ Vigente",K28="APTO"),"✔ ACCESO PERMITIDO","✘ SIN ACCESO")</f>
        <v/>
      </c>
      <c r="N28" s="12" t="n"/>
      <c r="O28" s="12" t="n"/>
      <c r="P28" s="12" t="n"/>
      <c r="Q28" s="12" t="n"/>
      <c r="R28" s="12" t="n"/>
      <c r="S28" s="12" t="n"/>
      <c r="T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IF(F29="","",IF(F29&gt;=TODAY(),"✔ Vigente","✘ Vencido"))</f>
        <v/>
      </c>
      <c r="H29" s="12" t="n"/>
      <c r="I29" s="12" t="n"/>
      <c r="J29" s="13">
        <f>IF(I29="","",IF(I29&gt;=TODAY(),"✔ Vigente","✘ Vencido"))</f>
        <v/>
      </c>
      <c r="K29" s="13">
        <f>IF(J29="✘ Vencido","NO APTO",IF(L29="","",UPPER(L29)))</f>
        <v/>
      </c>
      <c r="L29" s="13" t="n"/>
      <c r="M29" s="16">
        <f>IF(AND(G29="✔ Vigente",H29&lt;&gt;"",ISNUMBER(H29),H29&gt;=DATE(YEAR(TODAY()),MONTH(TODAY())-1,1),J29="✔ Vigente",K29="APTO"),"✔ ACCESO PERMITIDO","✘ SIN ACCESO")</f>
        <v/>
      </c>
      <c r="N29" s="12" t="n"/>
      <c r="O29" s="12" t="n"/>
      <c r="P29" s="12" t="n"/>
      <c r="Q29" s="12" t="n"/>
      <c r="R29" s="12" t="n"/>
      <c r="S29" s="12" t="n"/>
      <c r="T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IF(F30="","",IF(F30&gt;=TODAY(),"✔ Vigente","✘ Vencido"))</f>
        <v/>
      </c>
      <c r="H30" s="12" t="n"/>
      <c r="I30" s="12" t="n"/>
      <c r="J30" s="13">
        <f>IF(I30="","",IF(I30&gt;=TODAY(),"✔ Vigente","✘ Vencido"))</f>
        <v/>
      </c>
      <c r="K30" s="13">
        <f>IF(J30="✘ Vencido","NO APTO",IF(L30="","",UPPER(L30)))</f>
        <v/>
      </c>
      <c r="L30" s="13" t="n"/>
      <c r="M30" s="14">
        <f>IF(AND(G30="✔ Vigente",H30&lt;&gt;"",ISNUMBER(H30),H30&gt;=DATE(YEAR(TODAY()),MONTH(TODAY())-1,1),J30="✔ Vigente",K30="APTO"),"✔ ACCESO PERMITIDO","✘ SIN ACCESO")</f>
        <v/>
      </c>
      <c r="N30" s="12" t="n"/>
      <c r="O30" s="12" t="n"/>
      <c r="P30" s="12" t="n"/>
      <c r="Q30" s="12" t="n"/>
      <c r="R30" s="12" t="n"/>
      <c r="S30" s="12" t="n"/>
      <c r="T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IF(F31="","",IF(F31&gt;=TODAY(),"✔ Vigente","✘ Vencido"))</f>
        <v/>
      </c>
      <c r="H31" s="12" t="n"/>
      <c r="I31" s="12" t="n"/>
      <c r="J31" s="13">
        <f>IF(I31="","",IF(I31&gt;=TODAY(),"✔ Vigente","✘ Vencido"))</f>
        <v/>
      </c>
      <c r="K31" s="13">
        <f>IF(J31="✘ Vencido","NO APTO",IF(L31="","",UPPER(L31)))</f>
        <v/>
      </c>
      <c r="L31" s="13" t="n"/>
      <c r="M31" s="16">
        <f>IF(AND(G31="✔ Vigente",H31&lt;&gt;"",ISNUMBER(H31),H31&gt;=DATE(YEAR(TODAY()),MONTH(TODAY())-1,1),J31="✔ Vigente",K31="APTO"),"✔ ACCESO PERMITIDO","✘ SIN ACCESO")</f>
        <v/>
      </c>
      <c r="N31" s="12" t="n"/>
      <c r="O31" s="12" t="n"/>
      <c r="P31" s="12" t="n"/>
      <c r="Q31" s="12" t="n"/>
      <c r="R31" s="12" t="n"/>
      <c r="S31" s="12" t="n"/>
      <c r="T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IF(F32="","",IF(F32&gt;=TODAY(),"✔ Vigente","✘ Vencido"))</f>
        <v/>
      </c>
      <c r="H32" s="12" t="n"/>
      <c r="I32" s="12" t="n"/>
      <c r="J32" s="13">
        <f>IF(I32="","",IF(I32&gt;=TODAY(),"✔ Vigente","✘ Vencido"))</f>
        <v/>
      </c>
      <c r="K32" s="13">
        <f>IF(J32="✘ Vencido","NO APTO",IF(L32="","",UPPER(L32)))</f>
        <v/>
      </c>
      <c r="L32" s="13" t="n"/>
      <c r="M32" s="14">
        <f>IF(AND(G32="✔ Vigente",H32&lt;&gt;"",ISNUMBER(H32),H32&gt;=DATE(YEAR(TODAY()),MONTH(TODAY())-1,1),J32="✔ Vigente",K32="APTO"),"✔ ACCESO PERMITIDO","✘ SIN ACCESO")</f>
        <v/>
      </c>
      <c r="N32" s="12" t="n"/>
      <c r="O32" s="12" t="n"/>
      <c r="P32" s="12" t="n"/>
      <c r="Q32" s="12" t="n"/>
      <c r="R32" s="12" t="n"/>
      <c r="S32" s="12" t="n"/>
      <c r="T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IF(F33="","",IF(F33&gt;=TODAY(),"✔ Vigente","✘ Vencido"))</f>
        <v/>
      </c>
      <c r="H33" s="12" t="n"/>
      <c r="I33" s="12" t="n"/>
      <c r="J33" s="13">
        <f>IF(I33="","",IF(I33&gt;=TODAY(),"✔ Vigente","✘ Vencido"))</f>
        <v/>
      </c>
      <c r="K33" s="13">
        <f>IF(J33="✘ Vencido","NO APTO",IF(L33="","",UPPER(L33)))</f>
        <v/>
      </c>
      <c r="L33" s="13" t="n"/>
      <c r="M33" s="16">
        <f>IF(AND(G33="✔ Vigente",H33&lt;&gt;"",ISNUMBER(H33),H33&gt;=DATE(YEAR(TODAY()),MONTH(TODAY())-1,1),J33="✔ Vigente",K33="APTO"),"✔ ACCESO PERMITIDO","✘ SIN ACCESO")</f>
        <v/>
      </c>
      <c r="N33" s="12" t="n"/>
      <c r="O33" s="12" t="n"/>
      <c r="P33" s="12" t="n"/>
      <c r="Q33" s="12" t="n"/>
      <c r="R33" s="12" t="n"/>
      <c r="S33" s="12" t="n"/>
      <c r="T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IF(F34="","",IF(F34&gt;=TODAY(),"✔ Vigente","✘ Vencido"))</f>
        <v/>
      </c>
      <c r="H34" s="12" t="n"/>
      <c r="I34" s="12" t="n"/>
      <c r="J34" s="13">
        <f>IF(I34="","",IF(I34&gt;=TODAY(),"✔ Vigente","✘ Vencido"))</f>
        <v/>
      </c>
      <c r="K34" s="13">
        <f>IF(J34="✘ Vencido","NO APTO",IF(L34="","",UPPER(L34)))</f>
        <v/>
      </c>
      <c r="L34" s="13" t="n"/>
      <c r="M34" s="14">
        <f>IF(AND(G34="✔ Vigente",H34&lt;&gt;"",ISNUMBER(H34),H34&gt;=DATE(YEAR(TODAY()),MONTH(TODAY())-1,1),J34="✔ Vigente",K34="APTO"),"✔ ACCESO PERMITIDO","✘ SIN ACCESO")</f>
        <v/>
      </c>
      <c r="N34" s="12" t="n"/>
      <c r="O34" s="12" t="n"/>
      <c r="P34" s="12" t="n"/>
      <c r="Q34" s="12" t="n"/>
      <c r="R34" s="12" t="n"/>
      <c r="S34" s="12" t="n"/>
      <c r="T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IF(F35="","",IF(F35&gt;=TODAY(),"✔ Vigente","✘ Vencido"))</f>
        <v/>
      </c>
      <c r="H35" s="12" t="n"/>
      <c r="I35" s="12" t="n"/>
      <c r="J35" s="13">
        <f>IF(I35="","",IF(I35&gt;=TODAY(),"✔ Vigente","✘ Vencido"))</f>
        <v/>
      </c>
      <c r="K35" s="13">
        <f>IF(J35="✘ Vencido","NO APTO",IF(L35="","",UPPER(L35)))</f>
        <v/>
      </c>
      <c r="L35" s="13" t="n"/>
      <c r="M35" s="16">
        <f>IF(AND(G35="✔ Vigente",H35&lt;&gt;"",ISNUMBER(H35),H35&gt;=DATE(YEAR(TODAY()),MONTH(TODAY())-1,1),J35="✔ Vigente",K35="APTO"),"✔ ACCESO PERMITIDO","✘ SIN ACCESO")</f>
        <v/>
      </c>
      <c r="N35" s="12" t="n"/>
      <c r="O35" s="12" t="n"/>
      <c r="P35" s="12" t="n"/>
      <c r="Q35" s="12" t="n"/>
      <c r="R35" s="12" t="n"/>
      <c r="S35" s="12" t="n"/>
      <c r="T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IF(F36="","",IF(F36&gt;=TODAY(),"✔ Vigente","✘ Vencido"))</f>
        <v/>
      </c>
      <c r="H36" s="12" t="n"/>
      <c r="I36" s="12" t="n"/>
      <c r="J36" s="13">
        <f>IF(I36="","",IF(I36&gt;=TODAY(),"✔ Vigente","✘ Vencido"))</f>
        <v/>
      </c>
      <c r="K36" s="13">
        <f>IF(J36="✘ Vencido","NO APTO",IF(L36="","",UPPER(L36)))</f>
        <v/>
      </c>
      <c r="L36" s="13" t="n"/>
      <c r="M36" s="14">
        <f>IF(AND(G36="✔ Vigente",H36&lt;&gt;"",ISNUMBER(H36),H36&gt;=DATE(YEAR(TODAY()),MONTH(TODAY())-1,1),J36="✔ Vigente",K36="APTO"),"✔ ACCESO PERMITIDO","✘ SIN ACCESO")</f>
        <v/>
      </c>
      <c r="N36" s="12" t="n"/>
      <c r="O36" s="12" t="n"/>
      <c r="P36" s="12" t="n"/>
      <c r="Q36" s="12" t="n"/>
      <c r="R36" s="12" t="n"/>
      <c r="S36" s="12" t="n"/>
      <c r="T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IF(F37="","",IF(F37&gt;=TODAY(),"✔ Vigente","✘ Vencido"))</f>
        <v/>
      </c>
      <c r="H37" s="12" t="n"/>
      <c r="I37" s="12" t="n"/>
      <c r="J37" s="13">
        <f>IF(I37="","",IF(I37&gt;=TODAY(),"✔ Vigente","✘ Vencido"))</f>
        <v/>
      </c>
      <c r="K37" s="13">
        <f>IF(J37="✘ Vencido","NO APTO",IF(L37="","",UPPER(L37)))</f>
        <v/>
      </c>
      <c r="L37" s="13" t="n"/>
      <c r="M37" s="16">
        <f>IF(AND(G37="✔ Vigente",H37&lt;&gt;"",ISNUMBER(H37),H37&gt;=DATE(YEAR(TODAY()),MONTH(TODAY())-1,1),J37="✔ Vigente",K37="APTO"),"✔ ACCESO PERMITIDO","✘ SIN ACCESO")</f>
        <v/>
      </c>
      <c r="N37" s="12" t="n"/>
      <c r="O37" s="12" t="n"/>
      <c r="P37" s="12" t="n"/>
      <c r="Q37" s="12" t="n"/>
      <c r="R37" s="12" t="n"/>
      <c r="S37" s="12" t="n"/>
      <c r="T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IF(F38="","",IF(F38&gt;=TODAY(),"✔ Vigente","✘ Vencido"))</f>
        <v/>
      </c>
      <c r="H38" s="12" t="n"/>
      <c r="I38" s="12" t="n"/>
      <c r="J38" s="13">
        <f>IF(I38="","",IF(I38&gt;=TODAY(),"✔ Vigente","✘ Vencido"))</f>
        <v/>
      </c>
      <c r="K38" s="13">
        <f>IF(J38="✘ Vencido","NO APTO",IF(L38="","",UPPER(L38)))</f>
        <v/>
      </c>
      <c r="L38" s="13" t="n"/>
      <c r="M38" s="14">
        <f>IF(AND(G38="✔ Vigente",H38&lt;&gt;"",ISNUMBER(H38),H38&gt;=DATE(YEAR(TODAY()),MONTH(TODAY())-1,1),J38="✔ Vigente",K38="APTO"),"✔ ACCESO PERMITIDO","✘ SIN ACCESO")</f>
        <v/>
      </c>
      <c r="N38" s="12" t="n"/>
      <c r="O38" s="12" t="n"/>
      <c r="P38" s="12" t="n"/>
      <c r="Q38" s="12" t="n"/>
      <c r="R38" s="12" t="n"/>
      <c r="S38" s="12" t="n"/>
      <c r="T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IF(F39="","",IF(F39&gt;=TODAY(),"✔ Vigente","✘ Vencido"))</f>
        <v/>
      </c>
      <c r="H39" s="12" t="n"/>
      <c r="I39" s="12" t="n"/>
      <c r="J39" s="13">
        <f>IF(I39="","",IF(I39&gt;=TODAY(),"✔ Vigente","✘ Vencido"))</f>
        <v/>
      </c>
      <c r="K39" s="13">
        <f>IF(J39="✘ Vencido","NO APTO",IF(L39="","",UPPER(L39)))</f>
        <v/>
      </c>
      <c r="L39" s="13" t="n"/>
      <c r="M39" s="16">
        <f>IF(AND(G39="✔ Vigente",H39&lt;&gt;"",ISNUMBER(H39),H39&gt;=DATE(YEAR(TODAY()),MONTH(TODAY())-1,1),J39="✔ Vigente",K39="APTO"),"✔ ACCESO PERMITIDO","✘ SIN ACCESO")</f>
        <v/>
      </c>
      <c r="N39" s="12" t="n"/>
      <c r="O39" s="12" t="n"/>
      <c r="P39" s="12" t="n"/>
      <c r="Q39" s="12" t="n"/>
      <c r="R39" s="12" t="n"/>
      <c r="S39" s="12" t="n"/>
      <c r="T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IF(F40="","",IF(F40&gt;=TODAY(),"✔ Vigente","✘ Vencido"))</f>
        <v/>
      </c>
      <c r="H40" s="12" t="n"/>
      <c r="I40" s="12" t="n"/>
      <c r="J40" s="13">
        <f>IF(I40="","",IF(I40&gt;=TODAY(),"✔ Vigente","✘ Vencido"))</f>
        <v/>
      </c>
      <c r="K40" s="13">
        <f>IF(J40="✘ Vencido","NO APTO",IF(L40="","",UPPER(L40)))</f>
        <v/>
      </c>
      <c r="L40" s="13" t="n"/>
      <c r="M40" s="14">
        <f>IF(AND(G40="✔ Vigente",H40&lt;&gt;"",ISNUMBER(H40),H40&gt;=DATE(YEAR(TODAY()),MONTH(TODAY())-1,1),J40="✔ Vigente",K40="APTO"),"✔ ACCESO PERMITIDO","✘ SIN ACCESO")</f>
        <v/>
      </c>
      <c r="N40" s="12" t="n"/>
      <c r="O40" s="12" t="n"/>
      <c r="P40" s="12" t="n"/>
      <c r="Q40" s="12" t="n"/>
      <c r="R40" s="12" t="n"/>
      <c r="S40" s="12" t="n"/>
      <c r="T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IF(F41="","",IF(F41&gt;=TODAY(),"✔ Vigente","✘ Vencido"))</f>
        <v/>
      </c>
      <c r="H41" s="12" t="n"/>
      <c r="I41" s="12" t="n"/>
      <c r="J41" s="13">
        <f>IF(I41="","",IF(I41&gt;=TODAY(),"✔ Vigente","✘ Vencido"))</f>
        <v/>
      </c>
      <c r="K41" s="13">
        <f>IF(J41="✘ Vencido","NO APTO",IF(L41="","",UPPER(L41)))</f>
        <v/>
      </c>
      <c r="L41" s="13" t="n"/>
      <c r="M41" s="16">
        <f>IF(AND(G41="✔ Vigente",H41&lt;&gt;"",ISNUMBER(H41),H41&gt;=DATE(YEAR(TODAY()),MONTH(TODAY())-1,1),J41="✔ Vigente",K41="APTO"),"✔ ACCESO PERMITIDO","✘ SIN ACCESO")</f>
        <v/>
      </c>
      <c r="N41" s="12" t="n"/>
      <c r="O41" s="12" t="n"/>
      <c r="P41" s="12" t="n"/>
      <c r="Q41" s="12" t="n"/>
      <c r="R41" s="12" t="n"/>
      <c r="S41" s="12" t="n"/>
      <c r="T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IF(F42="","",IF(F42&gt;=TODAY(),"✔ Vigente","✘ Vencido"))</f>
        <v/>
      </c>
      <c r="H42" s="12" t="n"/>
      <c r="I42" s="12" t="n"/>
      <c r="J42" s="13">
        <f>IF(I42="","",IF(I42&gt;=TODAY(),"✔ Vigente","✘ Vencido"))</f>
        <v/>
      </c>
      <c r="K42" s="13">
        <f>IF(J42="✘ Vencido","NO APTO",IF(L42="","",UPPER(L42)))</f>
        <v/>
      </c>
      <c r="L42" s="13" t="n"/>
      <c r="M42" s="14">
        <f>IF(AND(G42="✔ Vigente",H42&lt;&gt;"",ISNUMBER(H42),H42&gt;=DATE(YEAR(TODAY()),MONTH(TODAY())-1,1),J42="✔ Vigente",K42="APTO"),"✔ ACCESO PERMITIDO","✘ SIN ACCESO")</f>
        <v/>
      </c>
      <c r="N42" s="12" t="n"/>
      <c r="O42" s="12" t="n"/>
      <c r="P42" s="12" t="n"/>
      <c r="Q42" s="12" t="n"/>
      <c r="R42" s="12" t="n"/>
      <c r="S42" s="12" t="n"/>
      <c r="T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IF(F43="","",IF(F43&gt;=TODAY(),"✔ Vigente","✘ Vencido"))</f>
        <v/>
      </c>
      <c r="H43" s="12" t="n"/>
      <c r="I43" s="12" t="n"/>
      <c r="J43" s="13">
        <f>IF(I43="","",IF(I43&gt;=TODAY(),"✔ Vigente","✘ Vencido"))</f>
        <v/>
      </c>
      <c r="K43" s="13">
        <f>IF(J43="✘ Vencido","NO APTO",IF(L43="","",UPPER(L43)))</f>
        <v/>
      </c>
      <c r="L43" s="13" t="n"/>
      <c r="M43" s="16">
        <f>IF(AND(G43="✔ Vigente",H43&lt;&gt;"",ISNUMBER(H43),H43&gt;=DATE(YEAR(TODAY()),MONTH(TODAY())-1,1),J43="✔ Vigente",K43="APTO"),"✔ ACCESO PERMITIDO","✘ SIN ACCESO")</f>
        <v/>
      </c>
      <c r="N43" s="12" t="n"/>
      <c r="O43" s="12" t="n"/>
      <c r="P43" s="12" t="n"/>
      <c r="Q43" s="12" t="n"/>
      <c r="R43" s="12" t="n"/>
      <c r="S43" s="12" t="n"/>
      <c r="T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IF(F44="","",IF(F44&gt;=TODAY(),"✔ Vigente","✘ Vencido"))</f>
        <v/>
      </c>
      <c r="H44" s="12" t="n"/>
      <c r="I44" s="12" t="n"/>
      <c r="J44" s="13">
        <f>IF(I44="","",IF(I44&gt;=TODAY(),"✔ Vigente","✘ Vencido"))</f>
        <v/>
      </c>
      <c r="K44" s="13">
        <f>IF(J44="✘ Vencido","NO APTO",IF(L44="","",UPPER(L44)))</f>
        <v/>
      </c>
      <c r="L44" s="13" t="n"/>
      <c r="M44" s="14">
        <f>IF(AND(G44="✔ Vigente",H44&lt;&gt;"",ISNUMBER(H44),H44&gt;=DATE(YEAR(TODAY()),MONTH(TODAY())-1,1),J44="✔ Vigente",K44="APTO"),"✔ ACCESO PERMITIDO","✘ SIN ACCESO")</f>
        <v/>
      </c>
      <c r="N44" s="12" t="n"/>
      <c r="O44" s="12" t="n"/>
      <c r="P44" s="12" t="n"/>
      <c r="Q44" s="12" t="n"/>
      <c r="R44" s="12" t="n"/>
      <c r="S44" s="12" t="n"/>
      <c r="T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IF(F45="","",IF(F45&gt;=TODAY(),"✔ Vigente","✘ Vencido"))</f>
        <v/>
      </c>
      <c r="H45" s="12" t="n"/>
      <c r="I45" s="12" t="n"/>
      <c r="J45" s="13">
        <f>IF(I45="","",IF(I45&gt;=TODAY(),"✔ Vigente","✘ Vencido"))</f>
        <v/>
      </c>
      <c r="K45" s="13">
        <f>IF(J45="✘ Vencido","NO APTO",IF(L45="","",UPPER(L45)))</f>
        <v/>
      </c>
      <c r="L45" s="13" t="n"/>
      <c r="M45" s="16">
        <f>IF(AND(G45="✔ Vigente",H45&lt;&gt;"",ISNUMBER(H45),H45&gt;=DATE(YEAR(TODAY()),MONTH(TODAY())-1,1),J45="✔ Vigente",K45="APTO"),"✔ ACCESO PERMITIDO","✘ SIN ACCESO")</f>
        <v/>
      </c>
      <c r="N45" s="12" t="n"/>
      <c r="O45" s="12" t="n"/>
      <c r="P45" s="12" t="n"/>
      <c r="Q45" s="12" t="n"/>
      <c r="R45" s="12" t="n"/>
      <c r="S45" s="12" t="n"/>
      <c r="T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IF(F46="","",IF(F46&gt;=TODAY(),"✔ Vigente","✘ Vencido"))</f>
        <v/>
      </c>
      <c r="H46" s="12" t="n"/>
      <c r="I46" s="12" t="n"/>
      <c r="J46" s="13">
        <f>IF(I46="","",IF(I46&gt;=TODAY(),"✔ Vigente","✘ Vencido"))</f>
        <v/>
      </c>
      <c r="K46" s="13">
        <f>IF(J46="✘ Vencido","NO APTO",IF(L46="","",UPPER(L46)))</f>
        <v/>
      </c>
      <c r="L46" s="13" t="n"/>
      <c r="M46" s="14">
        <f>IF(AND(G46="✔ Vigente",H46&lt;&gt;"",ISNUMBER(H46),H46&gt;=DATE(YEAR(TODAY()),MONTH(TODAY())-1,1),J46="✔ Vigente",K46="APTO"),"✔ ACCESO PERMITIDO","✘ SIN ACCESO")</f>
        <v/>
      </c>
      <c r="N46" s="12" t="n"/>
      <c r="O46" s="12" t="n"/>
      <c r="P46" s="12" t="n"/>
      <c r="Q46" s="12" t="n"/>
      <c r="R46" s="12" t="n"/>
      <c r="S46" s="12" t="n"/>
      <c r="T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IF(F47="","",IF(F47&gt;=TODAY(),"✔ Vigente","✘ Vencido"))</f>
        <v/>
      </c>
      <c r="H47" s="12" t="n"/>
      <c r="I47" s="12" t="n"/>
      <c r="J47" s="13">
        <f>IF(I47="","",IF(I47&gt;=TODAY(),"✔ Vigente","✘ Vencido"))</f>
        <v/>
      </c>
      <c r="K47" s="13">
        <f>IF(J47="✘ Vencido","NO APTO",IF(L47="","",UPPER(L47)))</f>
        <v/>
      </c>
      <c r="L47" s="13" t="n"/>
      <c r="M47" s="16">
        <f>IF(AND(G47="✔ Vigente",H47&lt;&gt;"",ISNUMBER(H47),H47&gt;=DATE(YEAR(TODAY()),MONTH(TODAY())-1,1),J47="✔ Vigente",K47="APTO"),"✔ ACCESO PERMITIDO","✘ SIN ACCESO")</f>
        <v/>
      </c>
      <c r="N47" s="12" t="n"/>
      <c r="O47" s="12" t="n"/>
      <c r="P47" s="12" t="n"/>
      <c r="Q47" s="12" t="n"/>
      <c r="R47" s="12" t="n"/>
      <c r="S47" s="12" t="n"/>
      <c r="T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IF(F48="","",IF(F48&gt;=TODAY(),"✔ Vigente","✘ Vencido"))</f>
        <v/>
      </c>
      <c r="H48" s="12" t="n"/>
      <c r="I48" s="12" t="n"/>
      <c r="J48" s="13">
        <f>IF(I48="","",IF(I48&gt;=TODAY(),"✔ Vigente","✘ Vencido"))</f>
        <v/>
      </c>
      <c r="K48" s="13">
        <f>IF(J48="✘ Vencido","NO APTO",IF(L48="","",UPPER(L48)))</f>
        <v/>
      </c>
      <c r="L48" s="13" t="n"/>
      <c r="M48" s="14">
        <f>IF(AND(G48="✔ Vigente",H48&lt;&gt;"",ISNUMBER(H48),H48&gt;=DATE(YEAR(TODAY()),MONTH(TODAY())-1,1),J48="✔ Vigente",K48="APTO"),"✔ ACCESO PERMITIDO","✘ SIN ACCESO")</f>
        <v/>
      </c>
      <c r="N48" s="12" t="n"/>
      <c r="O48" s="12" t="n"/>
      <c r="P48" s="12" t="n"/>
      <c r="Q48" s="12" t="n"/>
      <c r="R48" s="12" t="n"/>
      <c r="S48" s="12" t="n"/>
      <c r="T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IF(F49="","",IF(F49&gt;=TODAY(),"✔ Vigente","✘ Vencido"))</f>
        <v/>
      </c>
      <c r="H49" s="12" t="n"/>
      <c r="I49" s="12" t="n"/>
      <c r="J49" s="13">
        <f>IF(I49="","",IF(I49&gt;=TODAY(),"✔ Vigente","✘ Vencido"))</f>
        <v/>
      </c>
      <c r="K49" s="13">
        <f>IF(J49="✘ Vencido","NO APTO",IF(L49="","",UPPER(L49)))</f>
        <v/>
      </c>
      <c r="L49" s="13" t="n"/>
      <c r="M49" s="16">
        <f>IF(AND(G49="✔ Vigente",H49&lt;&gt;"",ISNUMBER(H49),H49&gt;=DATE(YEAR(TODAY()),MONTH(TODAY())-1,1),J49="✔ Vigente",K49="APTO"),"✔ ACCESO PERMITIDO","✘ SIN ACCESO")</f>
        <v/>
      </c>
      <c r="N49" s="12" t="n"/>
      <c r="O49" s="12" t="n"/>
      <c r="P49" s="12" t="n"/>
      <c r="Q49" s="12" t="n"/>
      <c r="R49" s="12" t="n"/>
      <c r="S49" s="12" t="n"/>
      <c r="T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IF(F50="","",IF(F50&gt;=TODAY(),"✔ Vigente","✘ Vencido"))</f>
        <v/>
      </c>
      <c r="H50" s="12" t="n"/>
      <c r="I50" s="12" t="n"/>
      <c r="J50" s="13">
        <f>IF(I50="","",IF(I50&gt;=TODAY(),"✔ Vigente","✘ Vencido"))</f>
        <v/>
      </c>
      <c r="K50" s="13">
        <f>IF(J50="✘ Vencido","NO APTO",IF(L50="","",UPPER(L50)))</f>
        <v/>
      </c>
      <c r="L50" s="13" t="n"/>
      <c r="M50" s="14">
        <f>IF(AND(G50="✔ Vigente",H50&lt;&gt;"",ISNUMBER(H50),H50&gt;=DATE(YEAR(TODAY()),MONTH(TODAY())-1,1),J50="✔ Vigente",K50="APTO"),"✔ ACCESO PERMITIDO","✘ SIN ACCESO")</f>
        <v/>
      </c>
      <c r="N50" s="12" t="n"/>
      <c r="O50" s="12" t="n"/>
      <c r="P50" s="12" t="n"/>
      <c r="Q50" s="12" t="n"/>
      <c r="R50" s="12" t="n"/>
      <c r="S50" s="12" t="n"/>
      <c r="T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IF(F51="","",IF(F51&gt;=TODAY(),"✔ Vigente","✘ Vencido"))</f>
        <v/>
      </c>
      <c r="H51" s="12" t="n"/>
      <c r="I51" s="12" t="n"/>
      <c r="J51" s="13">
        <f>IF(I51="","",IF(I51&gt;=TODAY(),"✔ Vigente","✘ Vencido"))</f>
        <v/>
      </c>
      <c r="K51" s="13">
        <f>IF(J51="✘ Vencido","NO APTO",IF(L51="","",UPPER(L51)))</f>
        <v/>
      </c>
      <c r="L51" s="13" t="n"/>
      <c r="M51" s="16">
        <f>IF(AND(G51="✔ Vigente",H51&lt;&gt;"",ISNUMBER(H51),H51&gt;=DATE(YEAR(TODAY()),MONTH(TODAY())-1,1),J51="✔ Vigente",K51="APTO"),"✔ ACCESO PERMITIDO","✘ SIN ACCESO")</f>
        <v/>
      </c>
      <c r="N51" s="12" t="n"/>
      <c r="O51" s="12" t="n"/>
      <c r="P51" s="12" t="n"/>
      <c r="Q51" s="12" t="n"/>
      <c r="R51" s="12" t="n"/>
      <c r="S51" s="12" t="n"/>
      <c r="T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IF(F52="","",IF(F52&gt;=TODAY(),"✔ Vigente","✘ Vencido"))</f>
        <v/>
      </c>
      <c r="H52" s="12" t="n"/>
      <c r="I52" s="12" t="n"/>
      <c r="J52" s="13">
        <f>IF(I52="","",IF(I52&gt;=TODAY(),"✔ Vigente","✘ Vencido"))</f>
        <v/>
      </c>
      <c r="K52" s="13">
        <f>IF(J52="✘ Vencido","NO APTO",IF(L52="","",UPPER(L52)))</f>
        <v/>
      </c>
      <c r="L52" s="13" t="n"/>
      <c r="M52" s="14">
        <f>IF(AND(G52="✔ Vigente",H52&lt;&gt;"",ISNUMBER(H52),H52&gt;=DATE(YEAR(TODAY()),MONTH(TODAY())-1,1),J52="✔ Vigente",K52="APTO"),"✔ ACCESO PERMITIDO","✘ SIN ACCESO")</f>
        <v/>
      </c>
      <c r="N52" s="12" t="n"/>
      <c r="O52" s="12" t="n"/>
      <c r="P52" s="12" t="n"/>
      <c r="Q52" s="12" t="n"/>
      <c r="R52" s="12" t="n"/>
      <c r="S52" s="12" t="n"/>
      <c r="T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IF(F53="","",IF(F53&gt;=TODAY(),"✔ Vigente","✘ Vencido"))</f>
        <v/>
      </c>
      <c r="H53" s="12" t="n"/>
      <c r="I53" s="12" t="n"/>
      <c r="J53" s="13">
        <f>IF(I53="","",IF(I53&gt;=TODAY(),"✔ Vigente","✘ Vencido"))</f>
        <v/>
      </c>
      <c r="K53" s="13">
        <f>IF(J53="✘ Vencido","NO APTO",IF(L53="","",UPPER(L53)))</f>
        <v/>
      </c>
      <c r="L53" s="13" t="n"/>
      <c r="M53" s="16">
        <f>IF(AND(G53="✔ Vigente",H53&lt;&gt;"",ISNUMBER(H53),H53&gt;=DATE(YEAR(TODAY()),MONTH(TODAY())-1,1),J53="✔ Vigente",K53="APTO"),"✔ ACCESO PERMITIDO","✘ SIN ACCESO")</f>
        <v/>
      </c>
      <c r="N53" s="12" t="n"/>
      <c r="O53" s="12" t="n"/>
      <c r="P53" s="12" t="n"/>
      <c r="Q53" s="12" t="n"/>
      <c r="R53" s="12" t="n"/>
      <c r="S53" s="12" t="n"/>
      <c r="T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IF(F54="","",IF(F54&gt;=TODAY(),"✔ Vigente","✘ Vencido"))</f>
        <v/>
      </c>
      <c r="H54" s="12" t="n"/>
      <c r="I54" s="12" t="n"/>
      <c r="J54" s="13">
        <f>IF(I54="","",IF(I54&gt;=TODAY(),"✔ Vigente","✘ Vencido"))</f>
        <v/>
      </c>
      <c r="K54" s="13">
        <f>IF(J54="✘ Vencido","NO APTO",IF(L54="","",UPPER(L54)))</f>
        <v/>
      </c>
      <c r="L54" s="13" t="n"/>
      <c r="M54" s="14">
        <f>IF(AND(G54="✔ Vigente",H54&lt;&gt;"",ISNUMBER(H54),H54&gt;=DATE(YEAR(TODAY()),MONTH(TODAY())-1,1),J54="✔ Vigente",K54="APTO"),"✔ ACCESO PERMITIDO","✘ SIN ACCESO")</f>
        <v/>
      </c>
      <c r="N54" s="12" t="n"/>
      <c r="O54" s="12" t="n"/>
      <c r="P54" s="12" t="n"/>
      <c r="Q54" s="12" t="n"/>
      <c r="R54" s="12" t="n"/>
      <c r="S54" s="12" t="n"/>
      <c r="T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IF(F55="","",IF(F55&gt;=TODAY(),"✔ Vigente","✘ Vencido"))</f>
        <v/>
      </c>
      <c r="H55" s="12" t="n"/>
      <c r="I55" s="12" t="n"/>
      <c r="J55" s="13">
        <f>IF(I55="","",IF(I55&gt;=TODAY(),"✔ Vigente","✘ Vencido"))</f>
        <v/>
      </c>
      <c r="K55" s="13">
        <f>IF(J55="✘ Vencido","NO APTO",IF(L55="","",UPPER(L55)))</f>
        <v/>
      </c>
      <c r="L55" s="13" t="n"/>
      <c r="M55" s="16">
        <f>IF(AND(G55="✔ Vigente",H55&lt;&gt;"",ISNUMBER(H55),H55&gt;=DATE(YEAR(TODAY()),MONTH(TODAY())-1,1),J55="✔ Vigente",K55="APTO"),"✔ ACCESO PERMITIDO","✘ SIN ACCESO")</f>
        <v/>
      </c>
      <c r="N55" s="12" t="n"/>
      <c r="O55" s="12" t="n"/>
      <c r="P55" s="12" t="n"/>
      <c r="Q55" s="12" t="n"/>
      <c r="R55" s="12" t="n"/>
      <c r="S55" s="12" t="n"/>
      <c r="T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AND(F6&lt;&gt;"",ISNUMBER(F6),F6&lt;TODAY())</formula>
    </cfRule>
    <cfRule type="expression" priority="2" dxfId="16">
      <formula>AND(F6&lt;&gt;"",ISNUMBER(F6),F6&gt;=TODAY(),F6&lt;=TODAY()+30)</formula>
    </cfRule>
    <cfRule type="expression" priority="3" dxfId="17">
      <formula>AND(F6&lt;&gt;"",ISNUMBER(F6),F6&gt;TODAY()+30)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AND(I6&lt;&gt;"",ISNUMBER(I6),I6&lt;TODAY())</formula>
    </cfRule>
    <cfRule type="expression" priority="9" dxfId="16">
      <formula>AND(I6&lt;&gt;"",ISNUMBER(I6),I6&gt;=TODAY(),I6&lt;=TODAY()+30)</formula>
    </cfRule>
    <cfRule type="expression" priority="10" dxfId="17">
      <formula>AND(I6&lt;&gt;"",ISNUMBER(I6),I6&gt;TODAY()+30)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K6="APTO"</formula>
    </cfRule>
    <cfRule type="expression" priority="14" dxfId="15">
      <formula>K6="NO APTO"</formula>
    </cfRule>
  </conditionalFormatting>
  <conditionalFormatting sqref="M6:M55">
    <cfRule type="expression" priority="15" dxfId="17">
      <formula>M6="✔ ACCESO PERMITIDO"</formula>
    </cfRule>
    <cfRule type="expression" priority="16" dxfId="15">
      <formula>M6="✘ SIN ACCESO"</formula>
    </cfRule>
  </conditionalFormatting>
  <conditionalFormatting sqref="N6:S55">
    <cfRule type="expression" priority="17" dxfId="15">
      <formula>AND(N6&lt;&gt;"",ISNUMBER(N6),N6&lt;TODAY())</formula>
    </cfRule>
    <cfRule type="expression" priority="18" dxfId="16">
      <formula>AND(N6&lt;&gt;"",ISNUMBER(N6),N6&gt;=TODAY(),N6&lt;=TODAY()+30)</formula>
    </cfRule>
    <cfRule type="expression" priority="19" dxfId="17">
      <formula>AND(N6&lt;&gt;"",ISNUMBER(N6),N6&gt;TODAY()+30)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2026-10-29T15:49:39Z</dcterms:modified>
  <cp:lastModifiedBy>Joel Campuzano</cp:lastModifiedBy>
  <cp:revision>0</cp:revision>
</cp:coreProperties>
</file>