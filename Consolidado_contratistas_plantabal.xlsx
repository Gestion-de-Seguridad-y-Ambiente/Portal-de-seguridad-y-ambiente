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27622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6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M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recepción)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emisión)</t>
        </is>
      </c>
      <c r="J5" s="22" t="inlineStr">
        <is>
          <t>Cert. Médico
Vigente</t>
        </is>
      </c>
      <c r="K5" s="8" t="inlineStr">
        <is>
          <t>Aptitud de Ingreso</t>
        </is>
      </c>
      <c r="L5" s="8" t="inlineStr">
        <is>
          <t>¿ACCESO
A PLANTA?</t>
        </is>
      </c>
      <c r="M5" s="9" t="inlineStr">
        <is>
          <t>Cert. Prevención
Riesgos Eléctricos
(Caducidad)</t>
        </is>
      </c>
      <c r="N5" s="9" t="inlineStr">
        <is>
          <t>Cert. Trabajos
en Altura
(Caducidad)</t>
        </is>
      </c>
      <c r="O5" s="9" t="inlineStr">
        <is>
          <t>Cert. Espacios
Confinados
(Caducidad)</t>
        </is>
      </c>
      <c r="P5" s="9" t="inlineStr">
        <is>
          <t>Cert. Trabajos
en Caliente
(Caducidad)</t>
        </is>
      </c>
      <c r="Q5" s="9" t="inlineStr">
        <is>
          <t>Cert. Prevención
de Riesgos
(Caducidad)</t>
        </is>
      </c>
      <c r="R5" s="9" t="inlineStr">
        <is>
          <t>Curso Primeros
Auxilios
(Fecha emisión)</t>
        </is>
      </c>
      <c r="S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IF(F6="","",IF(F6+365&gt;=TODAY(),"✔ Vigente","✘ Vencido"))</f>
        <v/>
      </c>
      <c r="H6" s="12" t="n">
        <v>46266</v>
      </c>
      <c r="I6" s="12" t="n">
        <v>46478</v>
      </c>
      <c r="J6" s="13">
        <f>IF(I6="","",IF(I6+365&gt;=TODAY(),"✔ Vigente","✘ Vencido"))</f>
        <v/>
      </c>
      <c r="K6" s="13" t="inlineStr">
        <is>
          <t>Apto</t>
        </is>
      </c>
      <c r="L6" s="14">
        <f>IF(AND(F6&lt;&gt;"",ISNUMBER(F6),F6+365&gt;=TODAY(),H6&lt;&gt;"",ISNUMBER(H6),H6&gt;=DATE(YEAR(TODAY()),MONTH(TODAY())-1,1),I6&lt;&gt;"",ISNUMBER(I6),I6+365&gt;=TODAY(),K6="APTO"),"✔ ACCESO PERMITIDO","✘ SIN ACCESO")</f>
        <v/>
      </c>
      <c r="M6" s="12" t="n">
        <v>47481</v>
      </c>
      <c r="N6" s="12" t="n"/>
      <c r="O6" s="12" t="n"/>
      <c r="P6" s="12" t="n"/>
      <c r="Q6" s="12" t="n">
        <v>47392</v>
      </c>
      <c r="R6" s="12" t="n"/>
      <c r="S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IF(F7="","",IF(F7+365&gt;=TODAY(),"✔ Vigente","✘ Vencido"))</f>
        <v/>
      </c>
      <c r="H7" s="12" t="n"/>
      <c r="I7" s="12" t="n"/>
      <c r="J7" s="13">
        <f>IF(I7="","",IF(I7+365&gt;=TODAY(),"✔ Vigente","✘ Vencido"))</f>
        <v/>
      </c>
      <c r="K7" s="13" t="n"/>
      <c r="L7" s="16">
        <f>IF(AND(F7&lt;&gt;"",ISNUMBER(F7),F7+365&gt;=TODAY(),H7&lt;&gt;"",ISNUMBER(H7),H7&gt;=DATE(YEAR(TODAY()),MONTH(TODAY())-1,1),I7&lt;&gt;"",ISNUMBER(I7),I7+365&gt;=TODAY(),K7="APTO"),"✔ ACCESO PERMITIDO","✘ SIN ACCESO")</f>
        <v/>
      </c>
      <c r="M7" s="12" t="n"/>
      <c r="N7" s="12" t="n"/>
      <c r="O7" s="12" t="n"/>
      <c r="P7" s="12" t="n"/>
      <c r="Q7" s="12" t="n"/>
      <c r="R7" s="12" t="n"/>
      <c r="S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IF(F8="","",IF(F8+365&gt;=TODAY(),"✔ Vigente","✘ Vencido"))</f>
        <v/>
      </c>
      <c r="H8" s="12" t="n"/>
      <c r="I8" s="12" t="n"/>
      <c r="J8" s="13">
        <f>IF(I8="","",IF(I8+365&gt;=TODAY(),"✔ Vigente","✘ Vencido"))</f>
        <v/>
      </c>
      <c r="K8" s="13" t="n"/>
      <c r="L8" s="14">
        <f>IF(AND(F8&lt;&gt;"",ISNUMBER(F8),F8+365&gt;=TODAY(),H8&lt;&gt;"",ISNUMBER(H8),H8&gt;=DATE(YEAR(TODAY()),MONTH(TODAY())-1,1),I8&lt;&gt;"",ISNUMBER(I8),I8+365&gt;=TODAY(),K8="APTO"),"✔ ACCESO PERMITIDO","✘ SIN ACCESO")</f>
        <v/>
      </c>
      <c r="M8" s="12" t="n"/>
      <c r="N8" s="12" t="n"/>
      <c r="O8" s="12" t="n"/>
      <c r="P8" s="12" t="n"/>
      <c r="Q8" s="12" t="n"/>
      <c r="R8" s="12" t="n"/>
      <c r="S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IF(F9="","",IF(F9+365&gt;=TODAY(),"✔ Vigente","✘ Vencido"))</f>
        <v/>
      </c>
      <c r="H9" s="12" t="n"/>
      <c r="I9" s="12" t="n"/>
      <c r="J9" s="13">
        <f>IF(I9="","",IF(I9+365&gt;=TODAY(),"✔ Vigente","✘ Vencido"))</f>
        <v/>
      </c>
      <c r="K9" s="13" t="n"/>
      <c r="L9" s="16">
        <f>IF(AND(F9&lt;&gt;"",ISNUMBER(F9),F9+365&gt;=TODAY(),H9&lt;&gt;"",ISNUMBER(H9),H9&gt;=DATE(YEAR(TODAY()),MONTH(TODAY())-1,1),I9&lt;&gt;"",ISNUMBER(I9),I9+365&gt;=TODAY(),K9="APTO"),"✔ ACCESO PERMITIDO","✘ SIN ACCESO")</f>
        <v/>
      </c>
      <c r="M9" s="12" t="n"/>
      <c r="N9" s="12" t="n"/>
      <c r="O9" s="12" t="n"/>
      <c r="P9" s="12" t="n"/>
      <c r="Q9" s="12" t="n"/>
      <c r="R9" s="12" t="n"/>
      <c r="S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IF(F10="","",IF(F10+365&gt;=TODAY(),"✔ Vigente","✘ Vencido"))</f>
        <v/>
      </c>
      <c r="H10" s="12" t="n"/>
      <c r="I10" s="12" t="n"/>
      <c r="J10" s="13">
        <f>IF(I10="","",IF(I10+365&gt;=TODAY(),"✔ Vigente","✘ Vencido"))</f>
        <v/>
      </c>
      <c r="K10" s="13" t="n"/>
      <c r="L10" s="14">
        <f>IF(AND(F10&lt;&gt;"",ISNUMBER(F10),F10+365&gt;=TODAY(),H10&lt;&gt;"",ISNUMBER(H10),H10&gt;=DATE(YEAR(TODAY()),MONTH(TODAY())-1,1),I10&lt;&gt;"",ISNUMBER(I10),I10+365&gt;=TODAY(),K10="APTO"),"✔ ACCESO PERMITIDO","✘ SIN ACCESO")</f>
        <v/>
      </c>
      <c r="M10" s="12" t="n"/>
      <c r="N10" s="12" t="n"/>
      <c r="O10" s="12" t="n"/>
      <c r="P10" s="12" t="n"/>
      <c r="Q10" s="12" t="n"/>
      <c r="R10" s="12" t="n"/>
      <c r="S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IF(F11="","",IF(F11+365&gt;=TODAY(),"✔ Vigente","✘ Vencido"))</f>
        <v/>
      </c>
      <c r="H11" s="12" t="n"/>
      <c r="I11" s="12" t="n"/>
      <c r="J11" s="13">
        <f>IF(I11="","",IF(I11+365&gt;=TODAY(),"✔ Vigente","✘ Vencido"))</f>
        <v/>
      </c>
      <c r="K11" s="13" t="n"/>
      <c r="L11" s="16">
        <f>IF(AND(F11&lt;&gt;"",ISNUMBER(F11),F11+365&gt;=TODAY(),H11&lt;&gt;"",ISNUMBER(H11),H11&gt;=DATE(YEAR(TODAY()),MONTH(TODAY())-1,1),I11&lt;&gt;"",ISNUMBER(I11),I11+365&gt;=TODAY(),K11="APTO"),"✔ ACCESO PERMITIDO","✘ SIN ACCESO")</f>
        <v/>
      </c>
      <c r="M11" s="12" t="n"/>
      <c r="N11" s="12" t="n"/>
      <c r="O11" s="12" t="n"/>
      <c r="P11" s="12" t="n"/>
      <c r="Q11" s="12" t="n"/>
      <c r="R11" s="12" t="n"/>
      <c r="S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IF(F12="","",IF(F12+365&gt;=TODAY(),"✔ Vigente","✘ Vencido"))</f>
        <v/>
      </c>
      <c r="H12" s="12" t="n"/>
      <c r="I12" s="12" t="n"/>
      <c r="J12" s="13">
        <f>IF(I12="","",IF(I12+365&gt;=TODAY(),"✔ Vigente","✘ Vencido"))</f>
        <v/>
      </c>
      <c r="K12" s="13" t="n"/>
      <c r="L12" s="14">
        <f>IF(AND(F12&lt;&gt;"",ISNUMBER(F12),F12+365&gt;=TODAY(),H12&lt;&gt;"",ISNUMBER(H12),H12&gt;=DATE(YEAR(TODAY()),MONTH(TODAY())-1,1),I12&lt;&gt;"",ISNUMBER(I12),I12+365&gt;=TODAY(),K12="APTO"),"✔ ACCESO PERMITIDO","✘ SIN ACCESO")</f>
        <v/>
      </c>
      <c r="M12" s="12" t="n"/>
      <c r="N12" s="12" t="n"/>
      <c r="O12" s="12" t="n"/>
      <c r="P12" s="12" t="n"/>
      <c r="Q12" s="12" t="n"/>
      <c r="R12" s="12" t="n"/>
      <c r="S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IF(F13="","",IF(F13+365&gt;=TODAY(),"✔ Vigente","✘ Vencido"))</f>
        <v/>
      </c>
      <c r="H13" s="12" t="n"/>
      <c r="I13" s="12" t="n"/>
      <c r="J13" s="13">
        <f>IF(I13="","",IF(I13+365&gt;=TODAY(),"✔ Vigente","✘ Vencido"))</f>
        <v/>
      </c>
      <c r="K13" s="13" t="n"/>
      <c r="L13" s="16">
        <f>IF(AND(F13&lt;&gt;"",ISNUMBER(F13),F13+365&gt;=TODAY(),H13&lt;&gt;"",ISNUMBER(H13),H13&gt;=DATE(YEAR(TODAY()),MONTH(TODAY())-1,1),I13&lt;&gt;"",ISNUMBER(I13),I13+365&gt;=TODAY(),K13="APTO"),"✔ ACCESO PERMITIDO","✘ SIN ACCESO")</f>
        <v/>
      </c>
      <c r="M13" s="12" t="n"/>
      <c r="N13" s="12" t="n"/>
      <c r="O13" s="12" t="n"/>
      <c r="P13" s="12" t="n"/>
      <c r="Q13" s="12" t="n"/>
      <c r="R13" s="12" t="n"/>
      <c r="S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IF(F14="","",IF(F14+365&gt;=TODAY(),"✔ Vigente","✘ Vencido"))</f>
        <v/>
      </c>
      <c r="H14" s="12" t="n"/>
      <c r="I14" s="12" t="n"/>
      <c r="J14" s="13">
        <f>IF(I14="","",IF(I14+365&gt;=TODAY(),"✔ Vigente","✘ Vencido"))</f>
        <v/>
      </c>
      <c r="K14" s="13" t="n"/>
      <c r="L14" s="14">
        <f>IF(AND(F14&lt;&gt;"",ISNUMBER(F14),F14+365&gt;=TODAY(),H14&lt;&gt;"",ISNUMBER(H14),H14&gt;=DATE(YEAR(TODAY()),MONTH(TODAY())-1,1),I14&lt;&gt;"",ISNUMBER(I14),I14+365&gt;=TODAY(),K14="APTO"),"✔ ACCESO PERMITIDO","✘ SIN ACCESO")</f>
        <v/>
      </c>
      <c r="M14" s="12" t="n"/>
      <c r="N14" s="12" t="n"/>
      <c r="O14" s="12" t="n"/>
      <c r="P14" s="12" t="n"/>
      <c r="Q14" s="12" t="n"/>
      <c r="R14" s="12" t="n"/>
      <c r="S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IF(F15="","",IF(F15+365&gt;=TODAY(),"✔ Vigente","✘ Vencido"))</f>
        <v/>
      </c>
      <c r="H15" s="12" t="n"/>
      <c r="I15" s="12" t="n"/>
      <c r="J15" s="13">
        <f>IF(I15="","",IF(I15+365&gt;=TODAY(),"✔ Vigente","✘ Vencido"))</f>
        <v/>
      </c>
      <c r="K15" s="13" t="n"/>
      <c r="L15" s="16">
        <f>IF(AND(F15&lt;&gt;"",ISNUMBER(F15),F15+365&gt;=TODAY(),H15&lt;&gt;"",ISNUMBER(H15),H15&gt;=DATE(YEAR(TODAY()),MONTH(TODAY())-1,1),I15&lt;&gt;"",ISNUMBER(I15),I15+365&gt;=TODAY(),K15="APTO"),"✔ ACCESO PERMITIDO","✘ SIN ACCESO")</f>
        <v/>
      </c>
      <c r="M15" s="12" t="n"/>
      <c r="N15" s="12" t="n"/>
      <c r="O15" s="12" t="n"/>
      <c r="P15" s="12" t="n"/>
      <c r="Q15" s="12" t="n"/>
      <c r="R15" s="12" t="n"/>
      <c r="S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IF(F16="","",IF(F16+365&gt;=TODAY(),"✔ Vigente","✘ Vencido"))</f>
        <v/>
      </c>
      <c r="H16" s="12" t="n"/>
      <c r="I16" s="12" t="n"/>
      <c r="J16" s="13">
        <f>IF(I16="","",IF(I16+365&gt;=TODAY(),"✔ Vigente","✘ Vencido"))</f>
        <v/>
      </c>
      <c r="K16" s="13" t="n"/>
      <c r="L16" s="14">
        <f>IF(AND(F16&lt;&gt;"",ISNUMBER(F16),F16+365&gt;=TODAY(),H16&lt;&gt;"",ISNUMBER(H16),H16&gt;=DATE(YEAR(TODAY()),MONTH(TODAY())-1,1),I16&lt;&gt;"",ISNUMBER(I16),I16+365&gt;=TODAY(),K16="APTO"),"✔ ACCESO PERMITIDO","✘ SIN ACCESO")</f>
        <v/>
      </c>
      <c r="M16" s="12" t="n"/>
      <c r="N16" s="12" t="n"/>
      <c r="O16" s="12" t="n"/>
      <c r="P16" s="12" t="n"/>
      <c r="Q16" s="12" t="n"/>
      <c r="R16" s="12" t="n"/>
      <c r="S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IF(F17="","",IF(F17+365&gt;=TODAY(),"✔ Vigente","✘ Vencido"))</f>
        <v/>
      </c>
      <c r="H17" s="12" t="n"/>
      <c r="I17" s="12" t="n"/>
      <c r="J17" s="13">
        <f>IF(I17="","",IF(I17+365&gt;=TODAY(),"✔ Vigente","✘ Vencido"))</f>
        <v/>
      </c>
      <c r="K17" s="13" t="n"/>
      <c r="L17" s="16">
        <f>IF(AND(F17&lt;&gt;"",ISNUMBER(F17),F17+365&gt;=TODAY(),H17&lt;&gt;"",ISNUMBER(H17),H17&gt;=DATE(YEAR(TODAY()),MONTH(TODAY())-1,1),I17&lt;&gt;"",ISNUMBER(I17),I17+365&gt;=TODAY(),K17="APTO"),"✔ ACCESO PERMITIDO","✘ SIN ACCESO")</f>
        <v/>
      </c>
      <c r="M17" s="12" t="n"/>
      <c r="N17" s="12" t="n"/>
      <c r="O17" s="12" t="n"/>
      <c r="P17" s="12" t="n"/>
      <c r="Q17" s="12" t="n"/>
      <c r="R17" s="12" t="n"/>
      <c r="S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IF(F18="","",IF(F18+365&gt;=TODAY(),"✔ Vigente","✘ Vencido"))</f>
        <v/>
      </c>
      <c r="H18" s="12" t="n"/>
      <c r="I18" s="12" t="n"/>
      <c r="J18" s="13">
        <f>IF(I18="","",IF(I18+365&gt;=TODAY(),"✔ Vigente","✘ Vencido"))</f>
        <v/>
      </c>
      <c r="K18" s="13" t="n"/>
      <c r="L18" s="14">
        <f>IF(AND(F18&lt;&gt;"",ISNUMBER(F18),F18+365&gt;=TODAY(),H18&lt;&gt;"",ISNUMBER(H18),H18&gt;=DATE(YEAR(TODAY()),MONTH(TODAY())-1,1),I18&lt;&gt;"",ISNUMBER(I18),I18+365&gt;=TODAY(),K18="APTO"),"✔ ACCESO PERMITIDO","✘ SIN ACCESO")</f>
        <v/>
      </c>
      <c r="M18" s="12" t="n"/>
      <c r="N18" s="12" t="n"/>
      <c r="O18" s="12" t="n"/>
      <c r="P18" s="12" t="n"/>
      <c r="Q18" s="12" t="n"/>
      <c r="R18" s="12" t="n"/>
      <c r="S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IF(F19="","",IF(F19+365&gt;=TODAY(),"✔ Vigente","✘ Vencido"))</f>
        <v/>
      </c>
      <c r="H19" s="12" t="n"/>
      <c r="I19" s="12" t="n"/>
      <c r="J19" s="13">
        <f>IF(I19="","",IF(I19+365&gt;=TODAY(),"✔ Vigente","✘ Vencido"))</f>
        <v/>
      </c>
      <c r="K19" s="13" t="n"/>
      <c r="L19" s="16">
        <f>IF(AND(F19&lt;&gt;"",ISNUMBER(F19),F19+365&gt;=TODAY(),H19&lt;&gt;"",ISNUMBER(H19),H19&gt;=DATE(YEAR(TODAY()),MONTH(TODAY())-1,1),I19&lt;&gt;"",ISNUMBER(I19),I19+365&gt;=TODAY(),K19="APTO"),"✔ ACCESO PERMITIDO","✘ SIN ACCESO")</f>
        <v/>
      </c>
      <c r="M19" s="12" t="n"/>
      <c r="N19" s="12" t="n"/>
      <c r="O19" s="12" t="n"/>
      <c r="P19" s="12" t="n"/>
      <c r="Q19" s="12" t="n"/>
      <c r="R19" s="12" t="n"/>
      <c r="S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IF(F20="","",IF(F20+365&gt;=TODAY(),"✔ Vigente","✘ Vencido"))</f>
        <v/>
      </c>
      <c r="H20" s="12" t="n"/>
      <c r="I20" s="12" t="n"/>
      <c r="J20" s="13">
        <f>IF(I20="","",IF(I20+365&gt;=TODAY(),"✔ Vigente","✘ Vencido"))</f>
        <v/>
      </c>
      <c r="K20" s="13" t="n"/>
      <c r="L20" s="14">
        <f>IF(AND(F20&lt;&gt;"",ISNUMBER(F20),F20+365&gt;=TODAY(),H20&lt;&gt;"",ISNUMBER(H20),H20&gt;=DATE(YEAR(TODAY()),MONTH(TODAY())-1,1),I20&lt;&gt;"",ISNUMBER(I20),I20+365&gt;=TODAY(),K20="APTO"),"✔ ACCESO PERMITIDO","✘ SIN ACCESO")</f>
        <v/>
      </c>
      <c r="M20" s="12" t="n"/>
      <c r="N20" s="12" t="n"/>
      <c r="O20" s="12" t="n"/>
      <c r="P20" s="12" t="n"/>
      <c r="Q20" s="12" t="n"/>
      <c r="R20" s="12" t="n"/>
      <c r="S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IF(F21="","",IF(F21+365&gt;=TODAY(),"✔ Vigente","✘ Vencido"))</f>
        <v/>
      </c>
      <c r="H21" s="12" t="n"/>
      <c r="I21" s="12" t="n"/>
      <c r="J21" s="13">
        <f>IF(I21="","",IF(I21+365&gt;=TODAY(),"✔ Vigente","✘ Vencido"))</f>
        <v/>
      </c>
      <c r="K21" s="13" t="n"/>
      <c r="L21" s="16">
        <f>IF(AND(F21&lt;&gt;"",ISNUMBER(F21),F21+365&gt;=TODAY(),H21&lt;&gt;"",ISNUMBER(H21),H21&gt;=DATE(YEAR(TODAY()),MONTH(TODAY())-1,1),I21&lt;&gt;"",ISNUMBER(I21),I21+365&gt;=TODAY(),K21="APTO"),"✔ ACCESO PERMITIDO","✘ SIN ACCESO")</f>
        <v/>
      </c>
      <c r="M21" s="12" t="n"/>
      <c r="N21" s="12" t="n"/>
      <c r="O21" s="12" t="n"/>
      <c r="P21" s="12" t="n"/>
      <c r="Q21" s="12" t="n"/>
      <c r="R21" s="12" t="n"/>
      <c r="S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IF(F22="","",IF(F22+365&gt;=TODAY(),"✔ Vigente","✘ Vencido"))</f>
        <v/>
      </c>
      <c r="H22" s="12" t="n"/>
      <c r="I22" s="12" t="n"/>
      <c r="J22" s="13">
        <f>IF(I22="","",IF(I22+365&gt;=TODAY(),"✔ Vigente","✘ Vencido"))</f>
        <v/>
      </c>
      <c r="K22" s="13" t="n"/>
      <c r="L22" s="14">
        <f>IF(AND(F22&lt;&gt;"",ISNUMBER(F22),F22+365&gt;=TODAY(),H22&lt;&gt;"",ISNUMBER(H22),H22&gt;=DATE(YEAR(TODAY()),MONTH(TODAY())-1,1),I22&lt;&gt;"",ISNUMBER(I22),I22+365&gt;=TODAY(),K22="APTO"),"✔ ACCESO PERMITIDO","✘ SIN ACCESO")</f>
        <v/>
      </c>
      <c r="M22" s="12" t="n"/>
      <c r="N22" s="12" t="n"/>
      <c r="O22" s="12" t="n"/>
      <c r="P22" s="12" t="n"/>
      <c r="Q22" s="12" t="n"/>
      <c r="R22" s="12" t="n"/>
      <c r="S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IF(F23="","",IF(F23+365&gt;=TODAY(),"✔ Vigente","✘ Vencido"))</f>
        <v/>
      </c>
      <c r="H23" s="12" t="n"/>
      <c r="I23" s="12" t="n"/>
      <c r="J23" s="13">
        <f>IF(I23="","",IF(I23+365&gt;=TODAY(),"✔ Vigente","✘ Vencido"))</f>
        <v/>
      </c>
      <c r="K23" s="13" t="n"/>
      <c r="L23" s="16">
        <f>IF(AND(F23&lt;&gt;"",ISNUMBER(F23),F23+365&gt;=TODAY(),H23&lt;&gt;"",ISNUMBER(H23),H23&gt;=DATE(YEAR(TODAY()),MONTH(TODAY())-1,1),I23&lt;&gt;"",ISNUMBER(I23),I23+365&gt;=TODAY(),K23="APTO"),"✔ ACCESO PERMITIDO","✘ SIN ACCESO")</f>
        <v/>
      </c>
      <c r="M23" s="12" t="n"/>
      <c r="N23" s="12" t="n"/>
      <c r="O23" s="12" t="n"/>
      <c r="P23" s="12" t="n"/>
      <c r="Q23" s="12" t="n"/>
      <c r="R23" s="12" t="n"/>
      <c r="S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IF(F24="","",IF(F24+365&gt;=TODAY(),"✔ Vigente","✘ Vencido"))</f>
        <v/>
      </c>
      <c r="H24" s="12" t="n"/>
      <c r="I24" s="12" t="n"/>
      <c r="J24" s="13">
        <f>IF(I24="","",IF(I24+365&gt;=TODAY(),"✔ Vigente","✘ Vencido"))</f>
        <v/>
      </c>
      <c r="K24" s="13" t="n"/>
      <c r="L24" s="14">
        <f>IF(AND(F24&lt;&gt;"",ISNUMBER(F24),F24+365&gt;=TODAY(),H24&lt;&gt;"",ISNUMBER(H24),H24&gt;=DATE(YEAR(TODAY()),MONTH(TODAY())-1,1),I24&lt;&gt;"",ISNUMBER(I24),I24+365&gt;=TODAY(),K24="APTO"),"✔ ACCESO PERMITIDO","✘ SIN ACCESO")</f>
        <v/>
      </c>
      <c r="M24" s="12" t="n"/>
      <c r="N24" s="12" t="n"/>
      <c r="O24" s="12" t="n"/>
      <c r="P24" s="12" t="n"/>
      <c r="Q24" s="12" t="n"/>
      <c r="R24" s="12" t="n"/>
      <c r="S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IF(F25="","",IF(F25+365&gt;=TODAY(),"✔ Vigente","✘ Vencido"))</f>
        <v/>
      </c>
      <c r="H25" s="12" t="n"/>
      <c r="I25" s="12" t="n"/>
      <c r="J25" s="13">
        <f>IF(I25="","",IF(I25+365&gt;=TODAY(),"✔ Vigente","✘ Vencido"))</f>
        <v/>
      </c>
      <c r="K25" s="13" t="n"/>
      <c r="L25" s="16">
        <f>IF(AND(F25&lt;&gt;"",ISNUMBER(F25),F25+365&gt;=TODAY(),H25&lt;&gt;"",ISNUMBER(H25),H25&gt;=DATE(YEAR(TODAY()),MONTH(TODAY())-1,1),I25&lt;&gt;"",ISNUMBER(I25),I25+365&gt;=TODAY(),K25="APTO"),"✔ ACCESO PERMITIDO","✘ SIN ACCESO")</f>
        <v/>
      </c>
      <c r="M25" s="12" t="n"/>
      <c r="N25" s="12" t="n"/>
      <c r="O25" s="12" t="n"/>
      <c r="P25" s="12" t="n"/>
      <c r="Q25" s="12" t="n"/>
      <c r="R25" s="12" t="n"/>
      <c r="S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IF(F26="","",IF(F26+365&gt;=TODAY(),"✔ Vigente","✘ Vencido"))</f>
        <v/>
      </c>
      <c r="H26" s="12" t="n"/>
      <c r="I26" s="12" t="n"/>
      <c r="J26" s="13">
        <f>IF(I26="","",IF(I26+365&gt;=TODAY(),"✔ Vigente","✘ Vencido"))</f>
        <v/>
      </c>
      <c r="K26" s="13" t="n"/>
      <c r="L26" s="14">
        <f>IF(AND(F26&lt;&gt;"",ISNUMBER(F26),F26+365&gt;=TODAY(),H26&lt;&gt;"",ISNUMBER(H26),H26&gt;=DATE(YEAR(TODAY()),MONTH(TODAY())-1,1),I26&lt;&gt;"",ISNUMBER(I26),I26+365&gt;=TODAY(),K26="APTO"),"✔ ACCESO PERMITIDO","✘ SIN ACCESO")</f>
        <v/>
      </c>
      <c r="M26" s="12" t="n"/>
      <c r="N26" s="12" t="n"/>
      <c r="O26" s="12" t="n"/>
      <c r="P26" s="12" t="n"/>
      <c r="Q26" s="12" t="n"/>
      <c r="R26" s="12" t="n"/>
      <c r="S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IF(F27="","",IF(F27+365&gt;=TODAY(),"✔ Vigente","✘ Vencido"))</f>
        <v/>
      </c>
      <c r="H27" s="12" t="n"/>
      <c r="I27" s="12" t="n"/>
      <c r="J27" s="13">
        <f>IF(I27="","",IF(I27+365&gt;=TODAY(),"✔ Vigente","✘ Vencido"))</f>
        <v/>
      </c>
      <c r="K27" s="13" t="n"/>
      <c r="L27" s="16">
        <f>IF(AND(F27&lt;&gt;"",ISNUMBER(F27),F27+365&gt;=TODAY(),H27&lt;&gt;"",ISNUMBER(H27),H27&gt;=DATE(YEAR(TODAY()),MONTH(TODAY())-1,1),I27&lt;&gt;"",ISNUMBER(I27),I27+365&gt;=TODAY(),K27="APTO"),"✔ ACCESO PERMITIDO","✘ SIN ACCESO")</f>
        <v/>
      </c>
      <c r="M27" s="12" t="n"/>
      <c r="N27" s="12" t="n"/>
      <c r="O27" s="12" t="n"/>
      <c r="P27" s="12" t="n"/>
      <c r="Q27" s="12" t="n"/>
      <c r="R27" s="12" t="n"/>
      <c r="S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IF(F28="","",IF(F28+365&gt;=TODAY(),"✔ Vigente","✘ Vencido"))</f>
        <v/>
      </c>
      <c r="H28" s="12" t="n"/>
      <c r="I28" s="12" t="n"/>
      <c r="J28" s="13">
        <f>IF(I28="","",IF(I28+365&gt;=TODAY(),"✔ Vigente","✘ Vencido"))</f>
        <v/>
      </c>
      <c r="K28" s="13" t="n"/>
      <c r="L28" s="14">
        <f>IF(AND(F28&lt;&gt;"",ISNUMBER(F28),F28+365&gt;=TODAY(),H28&lt;&gt;"",ISNUMBER(H28),H28&gt;=DATE(YEAR(TODAY()),MONTH(TODAY())-1,1),I28&lt;&gt;"",ISNUMBER(I28),I28+365&gt;=TODAY(),K28="APTO"),"✔ ACCESO PERMITIDO","✘ SIN ACCESO")</f>
        <v/>
      </c>
      <c r="M28" s="12" t="n"/>
      <c r="N28" s="12" t="n"/>
      <c r="O28" s="12" t="n"/>
      <c r="P28" s="12" t="n"/>
      <c r="Q28" s="12" t="n"/>
      <c r="R28" s="12" t="n"/>
      <c r="S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IF(F29="","",IF(F29+365&gt;=TODAY(),"✔ Vigente","✘ Vencido"))</f>
        <v/>
      </c>
      <c r="H29" s="12" t="n"/>
      <c r="I29" s="12" t="n"/>
      <c r="J29" s="13">
        <f>IF(I29="","",IF(I29+365&gt;=TODAY(),"✔ Vigente","✘ Vencido"))</f>
        <v/>
      </c>
      <c r="K29" s="13" t="n"/>
      <c r="L29" s="16">
        <f>IF(AND(F29&lt;&gt;"",ISNUMBER(F29),F29+365&gt;=TODAY(),H29&lt;&gt;"",ISNUMBER(H29),H29&gt;=DATE(YEAR(TODAY()),MONTH(TODAY())-1,1),I29&lt;&gt;"",ISNUMBER(I29),I29+365&gt;=TODAY(),K29="APTO"),"✔ ACCESO PERMITIDO","✘ SIN ACCESO")</f>
        <v/>
      </c>
      <c r="M29" s="12" t="n"/>
      <c r="N29" s="12" t="n"/>
      <c r="O29" s="12" t="n"/>
      <c r="P29" s="12" t="n"/>
      <c r="Q29" s="12" t="n"/>
      <c r="R29" s="12" t="n"/>
      <c r="S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IF(F30="","",IF(F30+365&gt;=TODAY(),"✔ Vigente","✘ Vencido"))</f>
        <v/>
      </c>
      <c r="H30" s="12" t="n"/>
      <c r="I30" s="12" t="n"/>
      <c r="J30" s="13">
        <f>IF(I30="","",IF(I30+365&gt;=TODAY(),"✔ Vigente","✘ Vencido"))</f>
        <v/>
      </c>
      <c r="K30" s="13" t="n"/>
      <c r="L30" s="14">
        <f>IF(AND(F30&lt;&gt;"",ISNUMBER(F30),F30+365&gt;=TODAY(),H30&lt;&gt;"",ISNUMBER(H30),H30&gt;=DATE(YEAR(TODAY()),MONTH(TODAY())-1,1),I30&lt;&gt;"",ISNUMBER(I30),I30+365&gt;=TODAY(),K30="APTO"),"✔ ACCESO PERMITIDO","✘ SIN ACCESO")</f>
        <v/>
      </c>
      <c r="M30" s="12" t="n"/>
      <c r="N30" s="12" t="n"/>
      <c r="O30" s="12" t="n"/>
      <c r="P30" s="12" t="n"/>
      <c r="Q30" s="12" t="n"/>
      <c r="R30" s="12" t="n"/>
      <c r="S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IF(F31="","",IF(F31+365&gt;=TODAY(),"✔ Vigente","✘ Vencido"))</f>
        <v/>
      </c>
      <c r="H31" s="12" t="n"/>
      <c r="I31" s="12" t="n"/>
      <c r="J31" s="13">
        <f>IF(I31="","",IF(I31+365&gt;=TODAY(),"✔ Vigente","✘ Vencido"))</f>
        <v/>
      </c>
      <c r="K31" s="13" t="n"/>
      <c r="L31" s="16">
        <f>IF(AND(F31&lt;&gt;"",ISNUMBER(F31),F31+365&gt;=TODAY(),H31&lt;&gt;"",ISNUMBER(H31),H31&gt;=DATE(YEAR(TODAY()),MONTH(TODAY())-1,1),I31&lt;&gt;"",ISNUMBER(I31),I31+365&gt;=TODAY(),K31="APTO"),"✔ ACCESO PERMITIDO","✘ SIN ACCESO")</f>
        <v/>
      </c>
      <c r="M31" s="12" t="n"/>
      <c r="N31" s="12" t="n"/>
      <c r="O31" s="12" t="n"/>
      <c r="P31" s="12" t="n"/>
      <c r="Q31" s="12" t="n"/>
      <c r="R31" s="12" t="n"/>
      <c r="S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IF(F32="","",IF(F32+365&gt;=TODAY(),"✔ Vigente","✘ Vencido"))</f>
        <v/>
      </c>
      <c r="H32" s="12" t="n"/>
      <c r="I32" s="12" t="n"/>
      <c r="J32" s="13">
        <f>IF(I32="","",IF(I32+365&gt;=TODAY(),"✔ Vigente","✘ Vencido"))</f>
        <v/>
      </c>
      <c r="K32" s="13" t="n"/>
      <c r="L32" s="14">
        <f>IF(AND(F32&lt;&gt;"",ISNUMBER(F32),F32+365&gt;=TODAY(),H32&lt;&gt;"",ISNUMBER(H32),H32&gt;=DATE(YEAR(TODAY()),MONTH(TODAY())-1,1),I32&lt;&gt;"",ISNUMBER(I32),I32+365&gt;=TODAY(),K32="APTO"),"✔ ACCESO PERMITIDO","✘ SIN ACCESO")</f>
        <v/>
      </c>
      <c r="M32" s="12" t="n"/>
      <c r="N32" s="12" t="n"/>
      <c r="O32" s="12" t="n"/>
      <c r="P32" s="12" t="n"/>
      <c r="Q32" s="12" t="n"/>
      <c r="R32" s="12" t="n"/>
      <c r="S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IF(F33="","",IF(F33+365&gt;=TODAY(),"✔ Vigente","✘ Vencido"))</f>
        <v/>
      </c>
      <c r="H33" s="12" t="n"/>
      <c r="I33" s="12" t="n"/>
      <c r="J33" s="13">
        <f>IF(I33="","",IF(I33+365&gt;=TODAY(),"✔ Vigente","✘ Vencido"))</f>
        <v/>
      </c>
      <c r="K33" s="13" t="n"/>
      <c r="L33" s="16">
        <f>IF(AND(F33&lt;&gt;"",ISNUMBER(F33),F33+365&gt;=TODAY(),H33&lt;&gt;"",ISNUMBER(H33),H33&gt;=DATE(YEAR(TODAY()),MONTH(TODAY())-1,1),I33&lt;&gt;"",ISNUMBER(I33),I33+365&gt;=TODAY(),K33="APTO"),"✔ ACCESO PERMITIDO","✘ SIN ACCESO")</f>
        <v/>
      </c>
      <c r="M33" s="12" t="n"/>
      <c r="N33" s="12" t="n"/>
      <c r="O33" s="12" t="n"/>
      <c r="P33" s="12" t="n"/>
      <c r="Q33" s="12" t="n"/>
      <c r="R33" s="12" t="n"/>
      <c r="S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IF(F34="","",IF(F34+365&gt;=TODAY(),"✔ Vigente","✘ Vencido"))</f>
        <v/>
      </c>
      <c r="H34" s="12" t="n"/>
      <c r="I34" s="12" t="n"/>
      <c r="J34" s="13">
        <f>IF(I34="","",IF(I34+365&gt;=TODAY(),"✔ Vigente","✘ Vencido"))</f>
        <v/>
      </c>
      <c r="K34" s="13" t="n"/>
      <c r="L34" s="14">
        <f>IF(AND(F34&lt;&gt;"",ISNUMBER(F34),F34+365&gt;=TODAY(),H34&lt;&gt;"",ISNUMBER(H34),H34&gt;=DATE(YEAR(TODAY()),MONTH(TODAY())-1,1),I34&lt;&gt;"",ISNUMBER(I34),I34+365&gt;=TODAY(),K34="APTO"),"✔ ACCESO PERMITIDO","✘ SIN ACCESO")</f>
        <v/>
      </c>
      <c r="M34" s="12" t="n"/>
      <c r="N34" s="12" t="n"/>
      <c r="O34" s="12" t="n"/>
      <c r="P34" s="12" t="n"/>
      <c r="Q34" s="12" t="n"/>
      <c r="R34" s="12" t="n"/>
      <c r="S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IF(F35="","",IF(F35+365&gt;=TODAY(),"✔ Vigente","✘ Vencido"))</f>
        <v/>
      </c>
      <c r="H35" s="12" t="n"/>
      <c r="I35" s="12" t="n"/>
      <c r="J35" s="13">
        <f>IF(I35="","",IF(I35+365&gt;=TODAY(),"✔ Vigente","✘ Vencido"))</f>
        <v/>
      </c>
      <c r="K35" s="13" t="n"/>
      <c r="L35" s="16">
        <f>IF(AND(F35&lt;&gt;"",ISNUMBER(F35),F35+365&gt;=TODAY(),H35&lt;&gt;"",ISNUMBER(H35),H35&gt;=DATE(YEAR(TODAY()),MONTH(TODAY())-1,1),I35&lt;&gt;"",ISNUMBER(I35),I35+365&gt;=TODAY(),K35="APTO"),"✔ ACCESO PERMITIDO","✘ SIN ACCESO")</f>
        <v/>
      </c>
      <c r="M35" s="12" t="n"/>
      <c r="N35" s="12" t="n"/>
      <c r="O35" s="12" t="n"/>
      <c r="P35" s="12" t="n"/>
      <c r="Q35" s="12" t="n"/>
      <c r="R35" s="12" t="n"/>
      <c r="S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IF(F36="","",IF(F36+365&gt;=TODAY(),"✔ Vigente","✘ Vencido"))</f>
        <v/>
      </c>
      <c r="H36" s="12" t="n"/>
      <c r="I36" s="12" t="n"/>
      <c r="J36" s="13">
        <f>IF(I36="","",IF(I36+365&gt;=TODAY(),"✔ Vigente","✘ Vencido"))</f>
        <v/>
      </c>
      <c r="K36" s="13" t="n"/>
      <c r="L36" s="14">
        <f>IF(AND(F36&lt;&gt;"",ISNUMBER(F36),F36+365&gt;=TODAY(),H36&lt;&gt;"",ISNUMBER(H36),H36&gt;=DATE(YEAR(TODAY()),MONTH(TODAY())-1,1),I36&lt;&gt;"",ISNUMBER(I36),I36+365&gt;=TODAY(),K36="APTO"),"✔ ACCESO PERMITIDO","✘ SIN ACCESO")</f>
        <v/>
      </c>
      <c r="M36" s="12" t="n"/>
      <c r="N36" s="12" t="n"/>
      <c r="O36" s="12" t="n"/>
      <c r="P36" s="12" t="n"/>
      <c r="Q36" s="12" t="n"/>
      <c r="R36" s="12" t="n"/>
      <c r="S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IF(F37="","",IF(F37+365&gt;=TODAY(),"✔ Vigente","✘ Vencido"))</f>
        <v/>
      </c>
      <c r="H37" s="12" t="n"/>
      <c r="I37" s="12" t="n"/>
      <c r="J37" s="13">
        <f>IF(I37="","",IF(I37+365&gt;=TODAY(),"✔ Vigente","✘ Vencido"))</f>
        <v/>
      </c>
      <c r="K37" s="13" t="n"/>
      <c r="L37" s="16">
        <f>IF(AND(F37&lt;&gt;"",ISNUMBER(F37),F37+365&gt;=TODAY(),H37&lt;&gt;"",ISNUMBER(H37),H37&gt;=DATE(YEAR(TODAY()),MONTH(TODAY())-1,1),I37&lt;&gt;"",ISNUMBER(I37),I37+365&gt;=TODAY(),K37="APTO"),"✔ ACCESO PERMITIDO","✘ SIN ACCESO")</f>
        <v/>
      </c>
      <c r="M37" s="12" t="n"/>
      <c r="N37" s="12" t="n"/>
      <c r="O37" s="12" t="n"/>
      <c r="P37" s="12" t="n"/>
      <c r="Q37" s="12" t="n"/>
      <c r="R37" s="12" t="n"/>
      <c r="S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IF(F38="","",IF(F38+365&gt;=TODAY(),"✔ Vigente","✘ Vencido"))</f>
        <v/>
      </c>
      <c r="H38" s="12" t="n"/>
      <c r="I38" s="12" t="n"/>
      <c r="J38" s="13">
        <f>IF(I38="","",IF(I38+365&gt;=TODAY(),"✔ Vigente","✘ Vencido"))</f>
        <v/>
      </c>
      <c r="K38" s="13" t="n"/>
      <c r="L38" s="14">
        <f>IF(AND(F38&lt;&gt;"",ISNUMBER(F38),F38+365&gt;=TODAY(),H38&lt;&gt;"",ISNUMBER(H38),H38&gt;=DATE(YEAR(TODAY()),MONTH(TODAY())-1,1),I38&lt;&gt;"",ISNUMBER(I38),I38+365&gt;=TODAY(),K38="APTO"),"✔ ACCESO PERMITIDO","✘ SIN ACCESO")</f>
        <v/>
      </c>
      <c r="M38" s="12" t="n"/>
      <c r="N38" s="12" t="n"/>
      <c r="O38" s="12" t="n"/>
      <c r="P38" s="12" t="n"/>
      <c r="Q38" s="12" t="n"/>
      <c r="R38" s="12" t="n"/>
      <c r="S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IF(F39="","",IF(F39+365&gt;=TODAY(),"✔ Vigente","✘ Vencido"))</f>
        <v/>
      </c>
      <c r="H39" s="12" t="n"/>
      <c r="I39" s="12" t="n"/>
      <c r="J39" s="13">
        <f>IF(I39="","",IF(I39+365&gt;=TODAY(),"✔ Vigente","✘ Vencido"))</f>
        <v/>
      </c>
      <c r="K39" s="13" t="n"/>
      <c r="L39" s="16">
        <f>IF(AND(F39&lt;&gt;"",ISNUMBER(F39),F39+365&gt;=TODAY(),H39&lt;&gt;"",ISNUMBER(H39),H39&gt;=DATE(YEAR(TODAY()),MONTH(TODAY())-1,1),I39&lt;&gt;"",ISNUMBER(I39),I39+365&gt;=TODAY(),K39="APTO"),"✔ ACCESO PERMITIDO","✘ SIN ACCESO")</f>
        <v/>
      </c>
      <c r="M39" s="12" t="n"/>
      <c r="N39" s="12" t="n"/>
      <c r="O39" s="12" t="n"/>
      <c r="P39" s="12" t="n"/>
      <c r="Q39" s="12" t="n"/>
      <c r="R39" s="12" t="n"/>
      <c r="S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IF(F40="","",IF(F40+365&gt;=TODAY(),"✔ Vigente","✘ Vencido"))</f>
        <v/>
      </c>
      <c r="H40" s="12" t="n"/>
      <c r="I40" s="12" t="n"/>
      <c r="J40" s="13">
        <f>IF(I40="","",IF(I40+365&gt;=TODAY(),"✔ Vigente","✘ Vencido"))</f>
        <v/>
      </c>
      <c r="K40" s="13" t="n"/>
      <c r="L40" s="14">
        <f>IF(AND(F40&lt;&gt;"",ISNUMBER(F40),F40+365&gt;=TODAY(),H40&lt;&gt;"",ISNUMBER(H40),H40&gt;=DATE(YEAR(TODAY()),MONTH(TODAY())-1,1),I40&lt;&gt;"",ISNUMBER(I40),I40+365&gt;=TODAY(),K40="APTO"),"✔ ACCESO PERMITIDO","✘ SIN ACCESO")</f>
        <v/>
      </c>
      <c r="M40" s="12" t="n"/>
      <c r="N40" s="12" t="n"/>
      <c r="O40" s="12" t="n"/>
      <c r="P40" s="12" t="n"/>
      <c r="Q40" s="12" t="n"/>
      <c r="R40" s="12" t="n"/>
      <c r="S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IF(F41="","",IF(F41+365&gt;=TODAY(),"✔ Vigente","✘ Vencido"))</f>
        <v/>
      </c>
      <c r="H41" s="12" t="n"/>
      <c r="I41" s="12" t="n"/>
      <c r="J41" s="13">
        <f>IF(I41="","",IF(I41+365&gt;=TODAY(),"✔ Vigente","✘ Vencido"))</f>
        <v/>
      </c>
      <c r="K41" s="13" t="n"/>
      <c r="L41" s="16">
        <f>IF(AND(F41&lt;&gt;"",ISNUMBER(F41),F41+365&gt;=TODAY(),H41&lt;&gt;"",ISNUMBER(H41),H41&gt;=DATE(YEAR(TODAY()),MONTH(TODAY())-1,1),I41&lt;&gt;"",ISNUMBER(I41),I41+365&gt;=TODAY(),K41="APTO"),"✔ ACCESO PERMITIDO","✘ SIN ACCESO")</f>
        <v/>
      </c>
      <c r="M41" s="12" t="n"/>
      <c r="N41" s="12" t="n"/>
      <c r="O41" s="12" t="n"/>
      <c r="P41" s="12" t="n"/>
      <c r="Q41" s="12" t="n"/>
      <c r="R41" s="12" t="n"/>
      <c r="S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IF(F42="","",IF(F42+365&gt;=TODAY(),"✔ Vigente","✘ Vencido"))</f>
        <v/>
      </c>
      <c r="H42" s="12" t="n"/>
      <c r="I42" s="12" t="n"/>
      <c r="J42" s="13">
        <f>IF(I42="","",IF(I42+365&gt;=TODAY(),"✔ Vigente","✘ Vencido"))</f>
        <v/>
      </c>
      <c r="K42" s="13" t="n"/>
      <c r="L42" s="14">
        <f>IF(AND(F42&lt;&gt;"",ISNUMBER(F42),F42+365&gt;=TODAY(),H42&lt;&gt;"",ISNUMBER(H42),H42&gt;=DATE(YEAR(TODAY()),MONTH(TODAY())-1,1),I42&lt;&gt;"",ISNUMBER(I42),I42+365&gt;=TODAY(),K42="APTO"),"✔ ACCESO PERMITIDO","✘ SIN ACCESO")</f>
        <v/>
      </c>
      <c r="M42" s="12" t="n"/>
      <c r="N42" s="12" t="n"/>
      <c r="O42" s="12" t="n"/>
      <c r="P42" s="12" t="n"/>
      <c r="Q42" s="12" t="n"/>
      <c r="R42" s="12" t="n"/>
      <c r="S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IF(F43="","",IF(F43+365&gt;=TODAY(),"✔ Vigente","✘ Vencido"))</f>
        <v/>
      </c>
      <c r="H43" s="12" t="n"/>
      <c r="I43" s="12" t="n"/>
      <c r="J43" s="13">
        <f>IF(I43="","",IF(I43+365&gt;=TODAY(),"✔ Vigente","✘ Vencido"))</f>
        <v/>
      </c>
      <c r="K43" s="13" t="n"/>
      <c r="L43" s="16">
        <f>IF(AND(F43&lt;&gt;"",ISNUMBER(F43),F43+365&gt;=TODAY(),H43&lt;&gt;"",ISNUMBER(H43),H43&gt;=DATE(YEAR(TODAY()),MONTH(TODAY())-1,1),I43&lt;&gt;"",ISNUMBER(I43),I43+365&gt;=TODAY(),K43="APTO"),"✔ ACCESO PERMITIDO","✘ SIN ACCESO")</f>
        <v/>
      </c>
      <c r="M43" s="12" t="n"/>
      <c r="N43" s="12" t="n"/>
      <c r="O43" s="12" t="n"/>
      <c r="P43" s="12" t="n"/>
      <c r="Q43" s="12" t="n"/>
      <c r="R43" s="12" t="n"/>
      <c r="S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IF(F44="","",IF(F44+365&gt;=TODAY(),"✔ Vigente","✘ Vencido"))</f>
        <v/>
      </c>
      <c r="H44" s="12" t="n"/>
      <c r="I44" s="12" t="n"/>
      <c r="J44" s="13">
        <f>IF(I44="","",IF(I44+365&gt;=TODAY(),"✔ Vigente","✘ Vencido"))</f>
        <v/>
      </c>
      <c r="K44" s="13" t="n"/>
      <c r="L44" s="14">
        <f>IF(AND(F44&lt;&gt;"",ISNUMBER(F44),F44+365&gt;=TODAY(),H44&lt;&gt;"",ISNUMBER(H44),H44&gt;=DATE(YEAR(TODAY()),MONTH(TODAY())-1,1),I44&lt;&gt;"",ISNUMBER(I44),I44+365&gt;=TODAY(),K44="APTO"),"✔ ACCESO PERMITIDO","✘ SIN ACCESO")</f>
        <v/>
      </c>
      <c r="M44" s="12" t="n"/>
      <c r="N44" s="12" t="n"/>
      <c r="O44" s="12" t="n"/>
      <c r="P44" s="12" t="n"/>
      <c r="Q44" s="12" t="n"/>
      <c r="R44" s="12" t="n"/>
      <c r="S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IF(F45="","",IF(F45+365&gt;=TODAY(),"✔ Vigente","✘ Vencido"))</f>
        <v/>
      </c>
      <c r="H45" s="12" t="n"/>
      <c r="I45" s="12" t="n"/>
      <c r="J45" s="13">
        <f>IF(I45="","",IF(I45+365&gt;=TODAY(),"✔ Vigente","✘ Vencido"))</f>
        <v/>
      </c>
      <c r="K45" s="13" t="n"/>
      <c r="L45" s="16">
        <f>IF(AND(F45&lt;&gt;"",ISNUMBER(F45),F45+365&gt;=TODAY(),H45&lt;&gt;"",ISNUMBER(H45),H45&gt;=DATE(YEAR(TODAY()),MONTH(TODAY())-1,1),I45&lt;&gt;"",ISNUMBER(I45),I45+365&gt;=TODAY(),K45="APTO"),"✔ ACCESO PERMITIDO","✘ SIN ACCESO")</f>
        <v/>
      </c>
      <c r="M45" s="12" t="n"/>
      <c r="N45" s="12" t="n"/>
      <c r="O45" s="12" t="n"/>
      <c r="P45" s="12" t="n"/>
      <c r="Q45" s="12" t="n"/>
      <c r="R45" s="12" t="n"/>
      <c r="S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IF(F46="","",IF(F46+365&gt;=TODAY(),"✔ Vigente","✘ Vencido"))</f>
        <v/>
      </c>
      <c r="H46" s="12" t="n"/>
      <c r="I46" s="12" t="n"/>
      <c r="J46" s="13">
        <f>IF(I46="","",IF(I46+365&gt;=TODAY(),"✔ Vigente","✘ Vencido"))</f>
        <v/>
      </c>
      <c r="K46" s="13" t="n"/>
      <c r="L46" s="14">
        <f>IF(AND(F46&lt;&gt;"",ISNUMBER(F46),F46+365&gt;=TODAY(),H46&lt;&gt;"",ISNUMBER(H46),H46&gt;=DATE(YEAR(TODAY()),MONTH(TODAY())-1,1),I46&lt;&gt;"",ISNUMBER(I46),I46+365&gt;=TODAY(),K46="APTO"),"✔ ACCESO PERMITIDO","✘ SIN ACCESO")</f>
        <v/>
      </c>
      <c r="M46" s="12" t="n"/>
      <c r="N46" s="12" t="n"/>
      <c r="O46" s="12" t="n"/>
      <c r="P46" s="12" t="n"/>
      <c r="Q46" s="12" t="n"/>
      <c r="R46" s="12" t="n"/>
      <c r="S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IF(F47="","",IF(F47+365&gt;=TODAY(),"✔ Vigente","✘ Vencido"))</f>
        <v/>
      </c>
      <c r="H47" s="12" t="n"/>
      <c r="I47" s="12" t="n"/>
      <c r="J47" s="13">
        <f>IF(I47="","",IF(I47+365&gt;=TODAY(),"✔ Vigente","✘ Vencido"))</f>
        <v/>
      </c>
      <c r="K47" s="13" t="n"/>
      <c r="L47" s="16">
        <f>IF(AND(F47&lt;&gt;"",ISNUMBER(F47),F47+365&gt;=TODAY(),H47&lt;&gt;"",ISNUMBER(H47),H47&gt;=DATE(YEAR(TODAY()),MONTH(TODAY())-1,1),I47&lt;&gt;"",ISNUMBER(I47),I47+365&gt;=TODAY(),K47="APTO"),"✔ ACCESO PERMITIDO","✘ SIN ACCESO")</f>
        <v/>
      </c>
      <c r="M47" s="12" t="n"/>
      <c r="N47" s="12" t="n"/>
      <c r="O47" s="12" t="n"/>
      <c r="P47" s="12" t="n"/>
      <c r="Q47" s="12" t="n"/>
      <c r="R47" s="12" t="n"/>
      <c r="S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IF(F48="","",IF(F48+365&gt;=TODAY(),"✔ Vigente","✘ Vencido"))</f>
        <v/>
      </c>
      <c r="H48" s="12" t="n"/>
      <c r="I48" s="12" t="n"/>
      <c r="J48" s="13">
        <f>IF(I48="","",IF(I48+365&gt;=TODAY(),"✔ Vigente","✘ Vencido"))</f>
        <v/>
      </c>
      <c r="K48" s="13" t="n"/>
      <c r="L48" s="14">
        <f>IF(AND(F48&lt;&gt;"",ISNUMBER(F48),F48+365&gt;=TODAY(),H48&lt;&gt;"",ISNUMBER(H48),H48&gt;=DATE(YEAR(TODAY()),MONTH(TODAY())-1,1),I48&lt;&gt;"",ISNUMBER(I48),I48+365&gt;=TODAY(),K48="APTO"),"✔ ACCESO PERMITIDO","✘ SIN ACCESO")</f>
        <v/>
      </c>
      <c r="M48" s="12" t="n"/>
      <c r="N48" s="12" t="n"/>
      <c r="O48" s="12" t="n"/>
      <c r="P48" s="12" t="n"/>
      <c r="Q48" s="12" t="n"/>
      <c r="R48" s="12" t="n"/>
      <c r="S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IF(F49="","",IF(F49+365&gt;=TODAY(),"✔ Vigente","✘ Vencido"))</f>
        <v/>
      </c>
      <c r="H49" s="12" t="n"/>
      <c r="I49" s="12" t="n"/>
      <c r="J49" s="13">
        <f>IF(I49="","",IF(I49+365&gt;=TODAY(),"✔ Vigente","✘ Vencido"))</f>
        <v/>
      </c>
      <c r="K49" s="13" t="n"/>
      <c r="L49" s="16">
        <f>IF(AND(F49&lt;&gt;"",ISNUMBER(F49),F49+365&gt;=TODAY(),H49&lt;&gt;"",ISNUMBER(H49),H49&gt;=DATE(YEAR(TODAY()),MONTH(TODAY())-1,1),I49&lt;&gt;"",ISNUMBER(I49),I49+365&gt;=TODAY(),K49="APTO"),"✔ ACCESO PERMITIDO","✘ SIN ACCESO")</f>
        <v/>
      </c>
      <c r="M49" s="12" t="n"/>
      <c r="N49" s="12" t="n"/>
      <c r="O49" s="12" t="n"/>
      <c r="P49" s="12" t="n"/>
      <c r="Q49" s="12" t="n"/>
      <c r="R49" s="12" t="n"/>
      <c r="S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IF(F50="","",IF(F50+365&gt;=TODAY(),"✔ Vigente","✘ Vencido"))</f>
        <v/>
      </c>
      <c r="H50" s="12" t="n"/>
      <c r="I50" s="12" t="n"/>
      <c r="J50" s="13">
        <f>IF(I50="","",IF(I50+365&gt;=TODAY(),"✔ Vigente","✘ Vencido"))</f>
        <v/>
      </c>
      <c r="K50" s="13" t="n"/>
      <c r="L50" s="14">
        <f>IF(AND(F50&lt;&gt;"",ISNUMBER(F50),F50+365&gt;=TODAY(),H50&lt;&gt;"",ISNUMBER(H50),H50&gt;=DATE(YEAR(TODAY()),MONTH(TODAY())-1,1),I50&lt;&gt;"",ISNUMBER(I50),I50+365&gt;=TODAY(),K50="APTO"),"✔ ACCESO PERMITIDO","✘ SIN ACCESO")</f>
        <v/>
      </c>
      <c r="M50" s="12" t="n"/>
      <c r="N50" s="12" t="n"/>
      <c r="O50" s="12" t="n"/>
      <c r="P50" s="12" t="n"/>
      <c r="Q50" s="12" t="n"/>
      <c r="R50" s="12" t="n"/>
      <c r="S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IF(F51="","",IF(F51+365&gt;=TODAY(),"✔ Vigente","✘ Vencido"))</f>
        <v/>
      </c>
      <c r="H51" s="12" t="n"/>
      <c r="I51" s="12" t="n"/>
      <c r="J51" s="13">
        <f>IF(I51="","",IF(I51+365&gt;=TODAY(),"✔ Vigente","✘ Vencido"))</f>
        <v/>
      </c>
      <c r="K51" s="13" t="n"/>
      <c r="L51" s="16">
        <f>IF(AND(F51&lt;&gt;"",ISNUMBER(F51),F51+365&gt;=TODAY(),H51&lt;&gt;"",ISNUMBER(H51),H51&gt;=DATE(YEAR(TODAY()),MONTH(TODAY())-1,1),I51&lt;&gt;"",ISNUMBER(I51),I51+365&gt;=TODAY(),K51="APTO"),"✔ ACCESO PERMITIDO","✘ SIN ACCESO")</f>
        <v/>
      </c>
      <c r="M51" s="12" t="n"/>
      <c r="N51" s="12" t="n"/>
      <c r="O51" s="12" t="n"/>
      <c r="P51" s="12" t="n"/>
      <c r="Q51" s="12" t="n"/>
      <c r="R51" s="12" t="n"/>
      <c r="S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IF(F52="","",IF(F52+365&gt;=TODAY(),"✔ Vigente","✘ Vencido"))</f>
        <v/>
      </c>
      <c r="H52" s="12" t="n"/>
      <c r="I52" s="12" t="n"/>
      <c r="J52" s="13">
        <f>IF(I52="","",IF(I52+365&gt;=TODAY(),"✔ Vigente","✘ Vencido"))</f>
        <v/>
      </c>
      <c r="K52" s="13" t="n"/>
      <c r="L52" s="14">
        <f>IF(AND(F52&lt;&gt;"",ISNUMBER(F52),F52+365&gt;=TODAY(),H52&lt;&gt;"",ISNUMBER(H52),H52&gt;=DATE(YEAR(TODAY()),MONTH(TODAY())-1,1),I52&lt;&gt;"",ISNUMBER(I52),I52+365&gt;=TODAY(),K52="APTO"),"✔ ACCESO PERMITIDO","✘ SIN ACCESO")</f>
        <v/>
      </c>
      <c r="M52" s="12" t="n"/>
      <c r="N52" s="12" t="n"/>
      <c r="O52" s="12" t="n"/>
      <c r="P52" s="12" t="n"/>
      <c r="Q52" s="12" t="n"/>
      <c r="R52" s="12" t="n"/>
      <c r="S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IF(F53="","",IF(F53+365&gt;=TODAY(),"✔ Vigente","✘ Vencido"))</f>
        <v/>
      </c>
      <c r="H53" s="12" t="n"/>
      <c r="I53" s="12" t="n"/>
      <c r="J53" s="13">
        <f>IF(I53="","",IF(I53+365&gt;=TODAY(),"✔ Vigente","✘ Vencido"))</f>
        <v/>
      </c>
      <c r="K53" s="13" t="n"/>
      <c r="L53" s="16">
        <f>IF(AND(F53&lt;&gt;"",ISNUMBER(F53),F53+365&gt;=TODAY(),H53&lt;&gt;"",ISNUMBER(H53),H53&gt;=DATE(YEAR(TODAY()),MONTH(TODAY())-1,1),I53&lt;&gt;"",ISNUMBER(I53),I53+365&gt;=TODAY(),K53="APTO"),"✔ ACCESO PERMITIDO","✘ SIN ACCESO")</f>
        <v/>
      </c>
      <c r="M53" s="12" t="n"/>
      <c r="N53" s="12" t="n"/>
      <c r="O53" s="12" t="n"/>
      <c r="P53" s="12" t="n"/>
      <c r="Q53" s="12" t="n"/>
      <c r="R53" s="12" t="n"/>
      <c r="S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IF(F54="","",IF(F54+365&gt;=TODAY(),"✔ Vigente","✘ Vencido"))</f>
        <v/>
      </c>
      <c r="H54" s="12" t="n"/>
      <c r="I54" s="12" t="n"/>
      <c r="J54" s="13">
        <f>IF(I54="","",IF(I54+365&gt;=TODAY(),"✔ Vigente","✘ Vencido"))</f>
        <v/>
      </c>
      <c r="K54" s="13" t="n"/>
      <c r="L54" s="14">
        <f>IF(AND(F54&lt;&gt;"",ISNUMBER(F54),F54+365&gt;=TODAY(),H54&lt;&gt;"",ISNUMBER(H54),H54&gt;=DATE(YEAR(TODAY()),MONTH(TODAY())-1,1),I54&lt;&gt;"",ISNUMBER(I54),I54+365&gt;=TODAY(),K54="APTO"),"✔ ACCESO PERMITIDO","✘ SIN ACCESO")</f>
        <v/>
      </c>
      <c r="M54" s="12" t="n"/>
      <c r="N54" s="12" t="n"/>
      <c r="O54" s="12" t="n"/>
      <c r="P54" s="12" t="n"/>
      <c r="Q54" s="12" t="n"/>
      <c r="R54" s="12" t="n"/>
      <c r="S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IF(F55="","",IF(F55+365&gt;=TODAY(),"✔ Vigente","✘ Vencido"))</f>
        <v/>
      </c>
      <c r="H55" s="12" t="n"/>
      <c r="I55" s="12" t="n"/>
      <c r="J55" s="13">
        <f>IF(I55="","",IF(I55+365&gt;=TODAY(),"✔ Vigente","✘ Vencido"))</f>
        <v/>
      </c>
      <c r="K55" s="13" t="n"/>
      <c r="L55" s="16">
        <f>IF(AND(F55&lt;&gt;"",ISNUMBER(F55),F55+365&gt;=TODAY(),H55&lt;&gt;"",ISNUMBER(H55),H55&gt;=DATE(YEAR(TODAY()),MONTH(TODAY())-1,1),I55&lt;&gt;"",ISNUMBER(I55),I55+365&gt;=TODAY(),K55="APTO"),"✔ ACCESO PERMITIDO","✘ SIN ACCESO")</f>
        <v/>
      </c>
      <c r="M55" s="12" t="n"/>
      <c r="N55" s="12" t="n"/>
      <c r="O55" s="12" t="n"/>
      <c r="P55" s="12" t="n"/>
      <c r="Q55" s="12" t="n"/>
      <c r="R55" s="12" t="n"/>
      <c r="S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AND(F6&lt;&gt;"",ISNUMBER(F6),F6+365&lt;TODAY())</formula>
    </cfRule>
    <cfRule type="expression" priority="2" dxfId="16">
      <formula>AND(F6&lt;&gt;"",ISNUMBER(F6),F6+365&gt;=TODAY(),F6+365&lt;=TODAY()+30)</formula>
    </cfRule>
    <cfRule type="expression" priority="3" dxfId="17">
      <formula>AND(F6&lt;&gt;"",ISNUMBER(F6),F6+365&gt;TODAY()+30)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AND(I6&lt;&gt;"",ISNUMBER(I6),I6+365&lt;TODAY())</formula>
    </cfRule>
    <cfRule type="expression" priority="9" dxfId="16">
      <formula>AND(I6&lt;&gt;"",ISNUMBER(I6),I6+365&gt;=TODAY(),I6+365&lt;=TODAY()+30)</formula>
    </cfRule>
    <cfRule type="expression" priority="10" dxfId="17">
      <formula>AND(I6&lt;&gt;"",ISNUMBER(I6),I6+365&gt;TODAY()+30)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7">
      <formula>UPPER(K6)="APTO"</formula>
    </cfRule>
    <cfRule type="expression" priority="14" dxfId="15">
      <formula>UPPER(K6)="NO APTO"</formula>
    </cfRule>
  </conditionalFormatting>
  <conditionalFormatting sqref="L6:L55">
    <cfRule type="expression" priority="15" dxfId="17">
      <formula>L6="✔ ACCESO PERMITIDO"</formula>
    </cfRule>
    <cfRule type="expression" priority="16" dxfId="15">
      <formula>L6="✘ SIN ACCESO"</formula>
    </cfRule>
  </conditionalFormatting>
  <conditionalFormatting sqref="M6:R55">
    <cfRule type="expression" priority="17" dxfId="15">
      <formula>AND(M6&lt;&gt;"",ISNUMBER(M6),M6&lt;TODAY())</formula>
    </cfRule>
    <cfRule type="expression" priority="18" dxfId="16">
      <formula>AND(M6&lt;&gt;"",ISNUMBER(M6),M6&gt;=TODAY(),M6&lt;=TODAY()+30)</formula>
    </cfRule>
    <cfRule type="expression" priority="19" dxfId="17">
      <formula>AND(M6&lt;&gt;"",ISNUMBER(M6),M6&gt;TODAY()+30)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2026-10-29T15:21:18Z</dcterms:modified>
  <cp:lastModifiedBy>Joel Campuzano</cp:lastModifiedBy>
  <cp:revision>0</cp:revision>
</cp:coreProperties>
</file>