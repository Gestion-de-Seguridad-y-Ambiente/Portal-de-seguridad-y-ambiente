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MAESTRO EMPRESAS" sheetId="2" state="visible" r:id="rId2"/>
  </sheets>
  <definedNames>
    <definedName name="_xlnm._FilterDatabase" localSheetId="0" hidden="1">'CONSOLIDADO'!$A$5:$Q$5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charset val="1"/>
      <b val="1"/>
      <color rgb="FF1A3A6B"/>
      <sz val="13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9"/>
    </font>
    <font>
      <name val="Arial"/>
      <charset val="1"/>
      <i val="1"/>
      <color rgb="FF595959"/>
      <sz val="8"/>
    </font>
    <font>
      <name val="Arial"/>
      <charset val="1"/>
      <b val="1"/>
      <color rgb="FF9E9E9E"/>
      <sz val="9"/>
    </font>
    <font>
      <name val="Arial"/>
      <charset val="1"/>
      <sz val="9"/>
    </font>
    <font>
      <name val="Arial"/>
      <charset val="1"/>
      <b val="1"/>
      <sz val="9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Calibri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FFFFFF"/>
        <bgColor rgb="FFFFF9E6"/>
      </patternFill>
    </fill>
    <fill>
      <patternFill patternType="solid">
        <fgColor rgb="FFF2F2F2"/>
        <bgColor rgb="FFEBF5FB"/>
      </patternFill>
    </fill>
    <fill>
      <patternFill patternType="solid">
        <fgColor rgb="FF2E6DB4"/>
        <bgColor rgb="FF0066CC"/>
      </patternFill>
    </fill>
    <fill>
      <patternFill patternType="solid">
        <fgColor rgb="FF1A6B5A"/>
        <bgColor rgb="FF276221"/>
      </patternFill>
    </fill>
    <fill>
      <patternFill patternType="solid">
        <fgColor rgb="FFEBF5FB"/>
        <bgColor rgb="FFF2F2F2"/>
      </patternFill>
    </fill>
    <fill>
      <patternFill patternType="solid">
        <fgColor rgb="FFFFF9E6"/>
        <bgColor rgb="FFFFFFFF"/>
      </patternFill>
    </fill>
    <fill>
      <patternFill patternType="solid">
        <fgColor rgb="FFD6E4F7"/>
        <bgColor rgb="FFEBF5FB"/>
      </patternFill>
    </fill>
    <fill>
      <patternFill patternType="solid">
        <fgColor rgb="FF1A3A6B"/>
        <bgColor rgb="FF333399"/>
      </patternFill>
    </fill>
    <fill>
      <patternFill patternType="solid">
        <fgColor rgb="FF2E6DB4"/>
      </patternFill>
    </fill>
  </fills>
  <borders count="4">
    <border>
      <left/>
      <right/>
      <top/>
      <bottom/>
      <diagonal/>
    </border>
    <border>
      <left style="medium">
        <color rgb="FF1A3A6B"/>
      </left>
      <right style="medium">
        <color rgb="FF1A3A6B"/>
      </right>
      <top style="medium">
        <color rgb="FF1A3A6B"/>
      </top>
      <bottom style="medium">
        <color rgb="FF1A3A6B"/>
      </bottom>
      <diagonal/>
    </border>
    <border>
      <left style="medium">
        <color rgb="FF1A6B5A"/>
      </left>
      <right style="medium">
        <color rgb="FF1A6B5A"/>
      </right>
      <top style="medium">
        <color rgb="FF1A6B5A"/>
      </top>
      <bottom style="medium">
        <color rgb="FF1A6B5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8" fillId="9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 wrapText="1"/>
    </xf>
    <xf numFmtId="14" fontId="6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15">
    <dxf>
      <font>
        <name val="Arial"/>
        <charset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color rgb="FF9C5700"/>
        <sz val="9"/>
      </font>
      <fill>
        <patternFill>
          <bgColor rgb="FFFFEB9C"/>
        </patternFill>
      </fill>
    </dxf>
    <dxf>
      <font>
        <name val="Arial"/>
        <charset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color rgb="FF9C5700"/>
        <sz val="9"/>
      </font>
      <fill>
        <patternFill>
          <bgColor rgb="FFFFEB9C"/>
        </patternFill>
      </fill>
    </dxf>
    <dxf>
      <font>
        <name val="Arial"/>
        <charset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color rgb="FF9C5700"/>
        <sz val="9"/>
      </font>
      <fill>
        <patternFill>
          <bgColor rgb="FFFFEB9C"/>
        </patternFill>
      </fill>
    </dxf>
    <dxf>
      <font>
        <name val="Arial"/>
        <charset val="1"/>
        <color rgb="FF9C0006"/>
        <sz val="9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1A6B5A"/>
      <rgbColor rgb="FFBFBFBF"/>
      <rgbColor rgb="FF808080"/>
      <rgbColor rgb="FF9999FF"/>
      <rgbColor rgb="FF993366"/>
      <rgbColor rgb="FFFFF9E6"/>
      <rgbColor rgb="FFEBF5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6DB4"/>
      <rgbColor rgb="FF33CCCC"/>
      <rgbColor rgb="FF99CC00"/>
      <rgbColor rgb="FFFFCC00"/>
      <rgbColor rgb="FFFF9900"/>
      <rgbColor rgb="FFFF6600"/>
      <rgbColor rgb="FF595959"/>
      <rgbColor rgb="FF9E9E9E"/>
      <rgbColor rgb="FF1A3A6B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1171080</colOff>
      <row>0</row>
      <rowOff>618840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23520" cy="618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910080</colOff>
      <row>0</row>
      <rowOff>475920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33080" cy="4759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5"/>
  <sheetViews>
    <sheetView showGridLines="0" tabSelected="1" zoomScale="80" zoomScaleNormal="8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O7" sqref="O7"/>
    </sheetView>
  </sheetViews>
  <sheetFormatPr baseColWidth="10" defaultColWidth="8.6328125" defaultRowHeight="14.5"/>
  <cols>
    <col width="5" customWidth="1" min="1" max="1"/>
    <col width="18" customWidth="1" min="2" max="3"/>
    <col width="30" customWidth="1" min="4" max="4"/>
    <col width="14" customWidth="1" min="5" max="7"/>
    <col width="10" customWidth="1" min="7" max="7"/>
    <col width="15" customWidth="1" min="8" max="8"/>
    <col width="12" customWidth="1" min="9" max="9"/>
    <col width="10" customWidth="1" min="10" max="10"/>
    <col width="16" customWidth="1" min="11" max="11"/>
    <col width="14" customWidth="1" min="12" max="12"/>
    <col width="15" customWidth="1" min="13" max="15"/>
    <col width="14" customWidth="1" min="16" max="16"/>
    <col width="24" customWidth="1" min="17" max="17"/>
  </cols>
  <sheetData>
    <row r="1" ht="75" customHeight="1">
      <c r="A1" s="7" t="n"/>
      <c r="C1" s="6" t="inlineStr">
        <is>
          <t>PLANTABAL S.A. / 3A CORE MATERIALS
CONSOLIDADO DE CONTRATISTAS — Control de Acceso y Habilitaciones</t>
        </is>
      </c>
    </row>
    <row r="2" ht="18" customHeight="1">
      <c r="A2" s="5" t="inlineStr">
        <is>
          <t>Responsable: Héctor Clavijo  |  Planta: Quevedo y Santo Domingo  |  Actualizado: 28/10/2026</t>
        </is>
      </c>
    </row>
    <row r="3" ht="15.75" customHeight="1">
      <c r="A3" s="4" t="inlineStr">
        <is>
          <t>▶  REQUISITOS DE ACCESO A PLANTA</t>
        </is>
      </c>
      <c r="M3" s="3" t="inlineStr">
        <is>
          <t>▶  HABILITACIONES POR TIPO DE TRABAJO</t>
        </is>
      </c>
    </row>
    <row r="4" ht="15" customHeight="1">
      <c r="A4" s="2" t="inlineStr">
        <is>
          <t>🟢 Vigente / ACCESO PERMITIDO    🔴 Vencido / SIN ACCESO    🟡 Vence en &lt; 30 días    | IESS: ingresar fecha del mes de la planilla (aviso de entrada → poner mes siguiente)</t>
        </is>
      </c>
    </row>
    <row r="5" ht="55.5" customHeight="1">
      <c r="A5" s="8" t="inlineStr">
        <is>
          <t>N°</t>
        </is>
      </c>
      <c r="B5" s="8" t="inlineStr">
        <is>
          <t>Apellido</t>
        </is>
      </c>
      <c r="C5" s="8" t="inlineStr">
        <is>
          <t>Nombres</t>
        </is>
      </c>
      <c r="D5" s="8" t="inlineStr">
        <is>
          <t>Empresa / Compañía</t>
        </is>
      </c>
      <c r="E5" s="8" t="inlineStr">
        <is>
          <t>N° Cédula</t>
        </is>
      </c>
      <c r="F5" s="8" t="inlineStr">
        <is>
          <t>Inducción de seguridad
(Fecha recepción)</t>
        </is>
      </c>
      <c r="G5" s="22" t="inlineStr">
        <is>
          <t>Inducción
Vigente</t>
        </is>
      </c>
      <c r="H5" s="8" t="inlineStr">
        <is>
          <t>Afiliación IESS
(Mes planilla)</t>
        </is>
      </c>
      <c r="I5" s="8" t="inlineStr">
        <is>
          <t>Cert. Médico Laboral
(Fecha emisión)</t>
        </is>
      </c>
      <c r="J5" s="22" t="inlineStr">
        <is>
          <t>Cert. Médico
Vigente</t>
        </is>
      </c>
      <c r="K5" s="8" t="inlineStr">
        <is>
          <t>Aptitud de Ingreso</t>
        </is>
      </c>
      <c r="L5" s="8" t="inlineStr">
        <is>
          <t>¿ACCESO
A PLANTA?</t>
        </is>
      </c>
      <c r="M5" s="9" t="inlineStr">
        <is>
          <t>Cert. Prevención
Riesgos Eléctricos
(Caducidad)</t>
        </is>
      </c>
      <c r="N5" s="9" t="inlineStr">
        <is>
          <t>Cert. Trabajos
en Altura
(Caducidad)</t>
        </is>
      </c>
      <c r="O5" s="9" t="inlineStr">
        <is>
          <t>Cert. Espacios
Confinados
(Caducidad)</t>
        </is>
      </c>
      <c r="P5" s="9" t="inlineStr">
        <is>
          <t>Cert. Trabajos
en Caliente
(Caducidad)</t>
        </is>
      </c>
      <c r="Q5" s="9" t="inlineStr">
        <is>
          <t>Cert. Prevención
de Riesgos
(Caducidad)</t>
        </is>
      </c>
      <c r="R5" s="9" t="inlineStr">
        <is>
          <t>Curso Primeros
Auxilios
(Fecha emisión)</t>
        </is>
      </c>
      <c r="S5" s="9" t="inlineStr">
        <is>
          <t>Observaciones</t>
        </is>
      </c>
    </row>
    <row r="6" ht="19.5" customHeight="1">
      <c r="A6" s="10" t="n">
        <v>1</v>
      </c>
      <c r="B6" s="11" t="inlineStr">
        <is>
          <t>Martinez Chuez</t>
        </is>
      </c>
      <c r="C6" s="11" t="inlineStr">
        <is>
          <t>Kevin Adrian</t>
        </is>
      </c>
      <c r="D6" s="11" t="inlineStr">
        <is>
          <t xml:space="preserve">PGS </t>
        </is>
      </c>
      <c r="E6" s="11" t="n">
        <v>1206813113</v>
      </c>
      <c r="F6" s="12" t="n">
        <v>46478</v>
      </c>
      <c r="G6" s="13">
        <f>IF(F6="","",IF(F6+365&gt;=TODAY(),"✔ Vigente","✘ Vencido"))</f>
        <v/>
      </c>
      <c r="H6" s="12" t="n">
        <v>46266</v>
      </c>
      <c r="I6" s="12" t="n">
        <v>46478</v>
      </c>
      <c r="J6" s="13">
        <f>IF(I6="","",IF(I6+365&gt;=TODAY(),"✔ Vigente","✘ Vencido"))</f>
        <v/>
      </c>
      <c r="K6" s="13" t="inlineStr">
        <is>
          <t>Apto</t>
        </is>
      </c>
      <c r="L6" s="14">
        <f>IF(AND(F6&lt;&gt;"",ISNUMBER(F6),F6+365&gt;=TODAY(),H6&lt;&gt;"",ISNUMBER(H6),H6&gt;=DATE(YEAR(TODAY()),MONTH(TODAY())-1,1),I6&lt;&gt;"",ISNUMBER(I6),I6+365&gt;=TODAY(),K6="APTO"),"✔ ACCESO PERMITIDO","✘ SIN ACCESO")</f>
        <v/>
      </c>
      <c r="M6" s="12" t="n">
        <v>47481</v>
      </c>
      <c r="N6" s="12" t="n"/>
      <c r="O6" s="12" t="n"/>
      <c r="P6" s="12" t="n"/>
      <c r="Q6" s="12" t="n">
        <v>47392</v>
      </c>
      <c r="R6" s="12" t="n"/>
      <c r="S6" s="11" t="n"/>
    </row>
    <row r="7" ht="19.5" customHeight="1">
      <c r="A7" s="15" t="n">
        <v>2</v>
      </c>
      <c r="B7" s="11" t="n"/>
      <c r="C7" s="11" t="n"/>
      <c r="D7" s="11" t="n"/>
      <c r="E7" s="11" t="n"/>
      <c r="F7" s="12" t="n"/>
      <c r="G7" s="13">
        <f>IF(F7="","",IF(F7+365&gt;=TODAY(),"✔ Vigente","✘ Vencido"))</f>
        <v/>
      </c>
      <c r="H7" s="12" t="n"/>
      <c r="I7" s="12" t="n"/>
      <c r="J7" s="13">
        <f>IF(I7="","",IF(I7+365&gt;=TODAY(),"✔ Vigente","✘ Vencido"))</f>
        <v/>
      </c>
      <c r="K7" s="13" t="n"/>
      <c r="L7" s="16">
        <f>IF(AND(F7&lt;&gt;"",ISNUMBER(F7),F7+365&gt;=TODAY(),H7&lt;&gt;"",ISNUMBER(H7),H7&gt;=DATE(YEAR(TODAY()),MONTH(TODAY())-1,1),I7&lt;&gt;"",ISNUMBER(I7),I7+365&gt;=TODAY(),K7="APTO"),"✔ ACCESO PERMITIDO","✘ SIN ACCESO")</f>
        <v/>
      </c>
      <c r="M7" s="12" t="n"/>
      <c r="N7" s="12" t="n"/>
      <c r="O7" s="12" t="n"/>
      <c r="P7" s="12" t="n"/>
      <c r="Q7" s="12" t="n"/>
      <c r="R7" s="12" t="n"/>
      <c r="S7" s="11" t="n"/>
    </row>
    <row r="8" ht="19.5" customHeight="1">
      <c r="A8" s="10" t="n">
        <v>3</v>
      </c>
      <c r="B8" s="11" t="n"/>
      <c r="C8" s="11" t="n"/>
      <c r="D8" s="11" t="n"/>
      <c r="E8" s="11" t="n"/>
      <c r="F8" s="12" t="n"/>
      <c r="G8" s="13">
        <f>IF(F8="","",IF(F8+365&gt;=TODAY(),"✔ Vigente","✘ Vencido"))</f>
        <v/>
      </c>
      <c r="H8" s="12" t="n"/>
      <c r="I8" s="12" t="n"/>
      <c r="J8" s="13">
        <f>IF(I8="","",IF(I8+365&gt;=TODAY(),"✔ Vigente","✘ Vencido"))</f>
        <v/>
      </c>
      <c r="K8" s="13" t="n"/>
      <c r="L8" s="14">
        <f>IF(AND(F8&lt;&gt;"",ISNUMBER(F8),F8+365&gt;=TODAY(),H8&lt;&gt;"",ISNUMBER(H8),H8&gt;=DATE(YEAR(TODAY()),MONTH(TODAY())-1,1),I8&lt;&gt;"",ISNUMBER(I8),I8+365&gt;=TODAY(),K8="APTO"),"✔ ACCESO PERMITIDO","✘ SIN ACCESO")</f>
        <v/>
      </c>
      <c r="M8" s="12" t="n"/>
      <c r="N8" s="12" t="n"/>
      <c r="O8" s="12" t="n"/>
      <c r="P8" s="12" t="n"/>
      <c r="Q8" s="12" t="n"/>
      <c r="R8" s="12" t="n"/>
      <c r="S8" s="11" t="n"/>
    </row>
    <row r="9" ht="19.5" customHeight="1">
      <c r="A9" s="15" t="n">
        <v>4</v>
      </c>
      <c r="B9" s="11" t="n"/>
      <c r="C9" s="11" t="n"/>
      <c r="D9" s="11" t="n"/>
      <c r="E9" s="11" t="n"/>
      <c r="F9" s="12" t="n"/>
      <c r="G9" s="13">
        <f>IF(F9="","",IF(F9+365&gt;=TODAY(),"✔ Vigente","✘ Vencido"))</f>
        <v/>
      </c>
      <c r="H9" s="12" t="n"/>
      <c r="I9" s="12" t="n"/>
      <c r="J9" s="13">
        <f>IF(I9="","",IF(I9+365&gt;=TODAY(),"✔ Vigente","✘ Vencido"))</f>
        <v/>
      </c>
      <c r="K9" s="13" t="n"/>
      <c r="L9" s="16">
        <f>IF(AND(F9&lt;&gt;"",ISNUMBER(F9),F9+365&gt;=TODAY(),H9&lt;&gt;"",ISNUMBER(H9),H9&gt;=DATE(YEAR(TODAY()),MONTH(TODAY())-1,1),I9&lt;&gt;"",ISNUMBER(I9),I9+365&gt;=TODAY(),K9="APTO"),"✔ ACCESO PERMITIDO","✘ SIN ACCESO")</f>
        <v/>
      </c>
      <c r="M9" s="12" t="n"/>
      <c r="N9" s="12" t="n"/>
      <c r="O9" s="12" t="n"/>
      <c r="P9" s="12" t="n"/>
      <c r="Q9" s="12" t="n"/>
      <c r="R9" s="12" t="n"/>
      <c r="S9" s="11" t="n"/>
    </row>
    <row r="10" ht="19.5" customHeight="1">
      <c r="A10" s="10" t="n">
        <v>5</v>
      </c>
      <c r="B10" s="11" t="n"/>
      <c r="C10" s="11" t="n"/>
      <c r="D10" s="11" t="n"/>
      <c r="E10" s="11" t="n"/>
      <c r="F10" s="12" t="n"/>
      <c r="G10" s="13">
        <f>IF(F10="","",IF(F10+365&gt;=TODAY(),"✔ Vigente","✘ Vencido"))</f>
        <v/>
      </c>
      <c r="H10" s="12" t="n"/>
      <c r="I10" s="12" t="n"/>
      <c r="J10" s="13">
        <f>IF(I10="","",IF(I10+365&gt;=TODAY(),"✔ Vigente","✘ Vencido"))</f>
        <v/>
      </c>
      <c r="K10" s="13" t="n"/>
      <c r="L10" s="14">
        <f>IF(AND(F10&lt;&gt;"",ISNUMBER(F10),F10+365&gt;=TODAY(),H10&lt;&gt;"",ISNUMBER(H10),H10&gt;=DATE(YEAR(TODAY()),MONTH(TODAY())-1,1),I10&lt;&gt;"",ISNUMBER(I10),I10+365&gt;=TODAY(),K10="APTO"),"✔ ACCESO PERMITIDO","✘ SIN ACCESO")</f>
        <v/>
      </c>
      <c r="M10" s="12" t="n"/>
      <c r="N10" s="12" t="n"/>
      <c r="O10" s="12" t="n"/>
      <c r="P10" s="12" t="n"/>
      <c r="Q10" s="12" t="n"/>
      <c r="R10" s="12" t="n"/>
      <c r="S10" s="11" t="n"/>
    </row>
    <row r="11" ht="19.5" customHeight="1">
      <c r="A11" s="15" t="n">
        <v>6</v>
      </c>
      <c r="B11" s="11" t="n"/>
      <c r="C11" s="11" t="n"/>
      <c r="D11" s="11" t="n"/>
      <c r="E11" s="11" t="n"/>
      <c r="F11" s="12" t="n"/>
      <c r="G11" s="13">
        <f>IF(F11="","",IF(F11+365&gt;=TODAY(),"✔ Vigente","✘ Vencido"))</f>
        <v/>
      </c>
      <c r="H11" s="12" t="n"/>
      <c r="I11" s="12" t="n"/>
      <c r="J11" s="13">
        <f>IF(I11="","",IF(I11+365&gt;=TODAY(),"✔ Vigente","✘ Vencido"))</f>
        <v/>
      </c>
      <c r="K11" s="13" t="n"/>
      <c r="L11" s="16">
        <f>IF(AND(F11&lt;&gt;"",ISNUMBER(F11),F11+365&gt;=TODAY(),H11&lt;&gt;"",ISNUMBER(H11),H11&gt;=DATE(YEAR(TODAY()),MONTH(TODAY())-1,1),I11&lt;&gt;"",ISNUMBER(I11),I11+365&gt;=TODAY(),K11="APTO"),"✔ ACCESO PERMITIDO","✘ SIN ACCESO")</f>
        <v/>
      </c>
      <c r="M11" s="12" t="n"/>
      <c r="N11" s="12" t="n"/>
      <c r="O11" s="12" t="n"/>
      <c r="P11" s="12" t="n"/>
      <c r="Q11" s="12" t="n"/>
      <c r="R11" s="12" t="n"/>
      <c r="S11" s="11" t="n"/>
    </row>
    <row r="12" ht="19.5" customHeight="1">
      <c r="A12" s="10" t="n">
        <v>7</v>
      </c>
      <c r="B12" s="11" t="n"/>
      <c r="C12" s="11" t="n"/>
      <c r="D12" s="11" t="n"/>
      <c r="E12" s="11" t="n"/>
      <c r="F12" s="12" t="n"/>
      <c r="G12" s="13">
        <f>IF(F12="","",IF(F12+365&gt;=TODAY(),"✔ Vigente","✘ Vencido"))</f>
        <v/>
      </c>
      <c r="H12" s="12" t="n"/>
      <c r="I12" s="12" t="n"/>
      <c r="J12" s="13">
        <f>IF(I12="","",IF(I12+365&gt;=TODAY(),"✔ Vigente","✘ Vencido"))</f>
        <v/>
      </c>
      <c r="K12" s="13" t="n"/>
      <c r="L12" s="14">
        <f>IF(AND(F12&lt;&gt;"",ISNUMBER(F12),F12+365&gt;=TODAY(),H12&lt;&gt;"",ISNUMBER(H12),H12&gt;=DATE(YEAR(TODAY()),MONTH(TODAY())-1,1),I12&lt;&gt;"",ISNUMBER(I12),I12+365&gt;=TODAY(),K12="APTO"),"✔ ACCESO PERMITIDO","✘ SIN ACCESO")</f>
        <v/>
      </c>
      <c r="M12" s="12" t="n"/>
      <c r="N12" s="12" t="n"/>
      <c r="O12" s="12" t="n"/>
      <c r="P12" s="12" t="n"/>
      <c r="Q12" s="12" t="n"/>
      <c r="R12" s="12" t="n"/>
      <c r="S12" s="11" t="n"/>
    </row>
    <row r="13" ht="19.5" customHeight="1">
      <c r="A13" s="15" t="n">
        <v>8</v>
      </c>
      <c r="B13" s="11" t="n"/>
      <c r="C13" s="11" t="n"/>
      <c r="D13" s="11" t="n"/>
      <c r="E13" s="11" t="n"/>
      <c r="F13" s="12" t="n"/>
      <c r="G13" s="13">
        <f>IF(F13="","",IF(F13+365&gt;=TODAY(),"✔ Vigente","✘ Vencido"))</f>
        <v/>
      </c>
      <c r="H13" s="12" t="n"/>
      <c r="I13" s="12" t="n"/>
      <c r="J13" s="13">
        <f>IF(I13="","",IF(I13+365&gt;=TODAY(),"✔ Vigente","✘ Vencido"))</f>
        <v/>
      </c>
      <c r="K13" s="13" t="n"/>
      <c r="L13" s="16">
        <f>IF(AND(F13&lt;&gt;"",ISNUMBER(F13),F13+365&gt;=TODAY(),H13&lt;&gt;"",ISNUMBER(H13),H13&gt;=DATE(YEAR(TODAY()),MONTH(TODAY())-1,1),I13&lt;&gt;"",ISNUMBER(I13),I13+365&gt;=TODAY(),K13="APTO"),"✔ ACCESO PERMITIDO","✘ SIN ACCESO")</f>
        <v/>
      </c>
      <c r="M13" s="12" t="n"/>
      <c r="N13" s="12" t="n"/>
      <c r="O13" s="12" t="n"/>
      <c r="P13" s="12" t="n"/>
      <c r="Q13" s="12" t="n"/>
      <c r="R13" s="12" t="n"/>
      <c r="S13" s="11" t="n"/>
    </row>
    <row r="14" ht="19.5" customHeight="1">
      <c r="A14" s="10" t="n">
        <v>9</v>
      </c>
      <c r="B14" s="11" t="n"/>
      <c r="C14" s="11" t="n"/>
      <c r="D14" s="11" t="n"/>
      <c r="E14" s="11" t="n"/>
      <c r="F14" s="12" t="n"/>
      <c r="G14" s="13">
        <f>IF(F14="","",IF(F14+365&gt;=TODAY(),"✔ Vigente","✘ Vencido"))</f>
        <v/>
      </c>
      <c r="H14" s="12" t="n"/>
      <c r="I14" s="12" t="n"/>
      <c r="J14" s="13">
        <f>IF(I14="","",IF(I14+365&gt;=TODAY(),"✔ Vigente","✘ Vencido"))</f>
        <v/>
      </c>
      <c r="K14" s="13" t="n"/>
      <c r="L14" s="14">
        <f>IF(AND(F14&lt;&gt;"",ISNUMBER(F14),F14+365&gt;=TODAY(),H14&lt;&gt;"",ISNUMBER(H14),H14&gt;=DATE(YEAR(TODAY()),MONTH(TODAY())-1,1),I14&lt;&gt;"",ISNUMBER(I14),I14+365&gt;=TODAY(),K14="APTO"),"✔ ACCESO PERMITIDO","✘ SIN ACCESO")</f>
        <v/>
      </c>
      <c r="M14" s="12" t="n"/>
      <c r="N14" s="12" t="n"/>
      <c r="O14" s="12" t="n"/>
      <c r="P14" s="12" t="n"/>
      <c r="Q14" s="12" t="n"/>
      <c r="R14" s="12" t="n"/>
      <c r="S14" s="11" t="n"/>
    </row>
    <row r="15" ht="19.5" customHeight="1">
      <c r="A15" s="15" t="n">
        <v>10</v>
      </c>
      <c r="B15" s="11" t="n"/>
      <c r="C15" s="11" t="n"/>
      <c r="D15" s="11" t="n"/>
      <c r="E15" s="11" t="n"/>
      <c r="F15" s="12" t="n"/>
      <c r="G15" s="13">
        <f>IF(F15="","",IF(F15+365&gt;=TODAY(),"✔ Vigente","✘ Vencido"))</f>
        <v/>
      </c>
      <c r="H15" s="12" t="n"/>
      <c r="I15" s="12" t="n"/>
      <c r="J15" s="13">
        <f>IF(I15="","",IF(I15+365&gt;=TODAY(),"✔ Vigente","✘ Vencido"))</f>
        <v/>
      </c>
      <c r="K15" s="13" t="n"/>
      <c r="L15" s="16">
        <f>IF(AND(F15&lt;&gt;"",ISNUMBER(F15),F15+365&gt;=TODAY(),H15&lt;&gt;"",ISNUMBER(H15),H15&gt;=DATE(YEAR(TODAY()),MONTH(TODAY())-1,1),I15&lt;&gt;"",ISNUMBER(I15),I15+365&gt;=TODAY(),K15="APTO"),"✔ ACCESO PERMITIDO","✘ SIN ACCESO")</f>
        <v/>
      </c>
      <c r="M15" s="12" t="n"/>
      <c r="N15" s="12" t="n"/>
      <c r="O15" s="12" t="n"/>
      <c r="P15" s="12" t="n"/>
      <c r="Q15" s="12" t="n"/>
      <c r="R15" s="12" t="n"/>
      <c r="S15" s="11" t="n"/>
    </row>
    <row r="16" ht="19.5" customHeight="1">
      <c r="A16" s="10" t="n">
        <v>11</v>
      </c>
      <c r="B16" s="11" t="n"/>
      <c r="C16" s="11" t="n"/>
      <c r="D16" s="11" t="n"/>
      <c r="E16" s="11" t="n"/>
      <c r="F16" s="12" t="n"/>
      <c r="G16" s="13">
        <f>IF(F16="","",IF(F16+365&gt;=TODAY(),"✔ Vigente","✘ Vencido"))</f>
        <v/>
      </c>
      <c r="H16" s="12" t="n"/>
      <c r="I16" s="12" t="n"/>
      <c r="J16" s="13">
        <f>IF(I16="","",IF(I16+365&gt;=TODAY(),"✔ Vigente","✘ Vencido"))</f>
        <v/>
      </c>
      <c r="K16" s="13" t="n"/>
      <c r="L16" s="14">
        <f>IF(AND(F16&lt;&gt;"",ISNUMBER(F16),F16+365&gt;=TODAY(),H16&lt;&gt;"",ISNUMBER(H16),H16&gt;=DATE(YEAR(TODAY()),MONTH(TODAY())-1,1),I16&lt;&gt;"",ISNUMBER(I16),I16+365&gt;=TODAY(),K16="APTO"),"✔ ACCESO PERMITIDO","✘ SIN ACCESO")</f>
        <v/>
      </c>
      <c r="M16" s="12" t="n"/>
      <c r="N16" s="12" t="n"/>
      <c r="O16" s="12" t="n"/>
      <c r="P16" s="12" t="n"/>
      <c r="Q16" s="12" t="n"/>
      <c r="R16" s="12" t="n"/>
      <c r="S16" s="11" t="n"/>
    </row>
    <row r="17" ht="19.5" customHeight="1">
      <c r="A17" s="15" t="n">
        <v>12</v>
      </c>
      <c r="B17" s="11" t="n"/>
      <c r="C17" s="11" t="n"/>
      <c r="D17" s="11" t="n"/>
      <c r="E17" s="11" t="n"/>
      <c r="F17" s="12" t="n"/>
      <c r="G17" s="13">
        <f>IF(F17="","",IF(F17+365&gt;=TODAY(),"✔ Vigente","✘ Vencido"))</f>
        <v/>
      </c>
      <c r="H17" s="12" t="n"/>
      <c r="I17" s="12" t="n"/>
      <c r="J17" s="13">
        <f>IF(I17="","",IF(I17+365&gt;=TODAY(),"✔ Vigente","✘ Vencido"))</f>
        <v/>
      </c>
      <c r="K17" s="13" t="n"/>
      <c r="L17" s="16">
        <f>IF(AND(F17&lt;&gt;"",ISNUMBER(F17),F17+365&gt;=TODAY(),H17&lt;&gt;"",ISNUMBER(H17),H17&gt;=DATE(YEAR(TODAY()),MONTH(TODAY())-1,1),I17&lt;&gt;"",ISNUMBER(I17),I17+365&gt;=TODAY(),K17="APTO"),"✔ ACCESO PERMITIDO","✘ SIN ACCESO")</f>
        <v/>
      </c>
      <c r="M17" s="12" t="n"/>
      <c r="N17" s="12" t="n"/>
      <c r="O17" s="12" t="n"/>
      <c r="P17" s="12" t="n"/>
      <c r="Q17" s="12" t="n"/>
      <c r="R17" s="12" t="n"/>
      <c r="S17" s="11" t="n"/>
    </row>
    <row r="18" ht="19.5" customHeight="1">
      <c r="A18" s="10" t="n">
        <v>13</v>
      </c>
      <c r="B18" s="11" t="n"/>
      <c r="C18" s="11" t="n"/>
      <c r="D18" s="11" t="n"/>
      <c r="E18" s="11" t="n"/>
      <c r="F18" s="12" t="n"/>
      <c r="G18" s="13">
        <f>IF(F18="","",IF(F18+365&gt;=TODAY(),"✔ Vigente","✘ Vencido"))</f>
        <v/>
      </c>
      <c r="H18" s="12" t="n"/>
      <c r="I18" s="12" t="n"/>
      <c r="J18" s="13">
        <f>IF(I18="","",IF(I18+365&gt;=TODAY(),"✔ Vigente","✘ Vencido"))</f>
        <v/>
      </c>
      <c r="K18" s="13" t="n"/>
      <c r="L18" s="14">
        <f>IF(AND(F18&lt;&gt;"",ISNUMBER(F18),F18+365&gt;=TODAY(),H18&lt;&gt;"",ISNUMBER(H18),H18&gt;=DATE(YEAR(TODAY()),MONTH(TODAY())-1,1),I18&lt;&gt;"",ISNUMBER(I18),I18+365&gt;=TODAY(),K18="APTO"),"✔ ACCESO PERMITIDO","✘ SIN ACCESO")</f>
        <v/>
      </c>
      <c r="M18" s="12" t="n"/>
      <c r="N18" s="12" t="n"/>
      <c r="O18" s="12" t="n"/>
      <c r="P18" s="12" t="n"/>
      <c r="Q18" s="12" t="n"/>
      <c r="R18" s="12" t="n"/>
      <c r="S18" s="11" t="n"/>
    </row>
    <row r="19" ht="19.5" customHeight="1">
      <c r="A19" s="15" t="n">
        <v>14</v>
      </c>
      <c r="B19" s="11" t="n"/>
      <c r="C19" s="11" t="n"/>
      <c r="D19" s="11" t="n"/>
      <c r="E19" s="11" t="n"/>
      <c r="F19" s="12" t="n"/>
      <c r="G19" s="13">
        <f>IF(F19="","",IF(F19+365&gt;=TODAY(),"✔ Vigente","✘ Vencido"))</f>
        <v/>
      </c>
      <c r="H19" s="12" t="n"/>
      <c r="I19" s="12" t="n"/>
      <c r="J19" s="13">
        <f>IF(I19="","",IF(I19+365&gt;=TODAY(),"✔ Vigente","✘ Vencido"))</f>
        <v/>
      </c>
      <c r="K19" s="13" t="n"/>
      <c r="L19" s="16">
        <f>IF(AND(F19&lt;&gt;"",ISNUMBER(F19),F19+365&gt;=TODAY(),H19&lt;&gt;"",ISNUMBER(H19),H19&gt;=DATE(YEAR(TODAY()),MONTH(TODAY())-1,1),I19&lt;&gt;"",ISNUMBER(I19),I19+365&gt;=TODAY(),K19="APTO"),"✔ ACCESO PERMITIDO","✘ SIN ACCESO")</f>
        <v/>
      </c>
      <c r="M19" s="12" t="n"/>
      <c r="N19" s="12" t="n"/>
      <c r="O19" s="12" t="n"/>
      <c r="P19" s="12" t="n"/>
      <c r="Q19" s="12" t="n"/>
      <c r="R19" s="12" t="n"/>
      <c r="S19" s="11" t="n"/>
    </row>
    <row r="20" ht="19.5" customHeight="1">
      <c r="A20" s="10" t="n">
        <v>15</v>
      </c>
      <c r="B20" s="11" t="n"/>
      <c r="C20" s="11" t="n"/>
      <c r="D20" s="11" t="n"/>
      <c r="E20" s="11" t="n"/>
      <c r="F20" s="12" t="n"/>
      <c r="G20" s="13">
        <f>IF(F20="","",IF(F20+365&gt;=TODAY(),"✔ Vigente","✘ Vencido"))</f>
        <v/>
      </c>
      <c r="H20" s="12" t="n"/>
      <c r="I20" s="12" t="n"/>
      <c r="J20" s="13">
        <f>IF(I20="","",IF(I20+365&gt;=TODAY(),"✔ Vigente","✘ Vencido"))</f>
        <v/>
      </c>
      <c r="K20" s="13" t="n"/>
      <c r="L20" s="14">
        <f>IF(AND(F20&lt;&gt;"",ISNUMBER(F20),F20+365&gt;=TODAY(),H20&lt;&gt;"",ISNUMBER(H20),H20&gt;=DATE(YEAR(TODAY()),MONTH(TODAY())-1,1),I20&lt;&gt;"",ISNUMBER(I20),I20+365&gt;=TODAY(),K20="APTO"),"✔ ACCESO PERMITIDO","✘ SIN ACCESO")</f>
        <v/>
      </c>
      <c r="M20" s="12" t="n"/>
      <c r="N20" s="12" t="n"/>
      <c r="O20" s="12" t="n"/>
      <c r="P20" s="12" t="n"/>
      <c r="Q20" s="12" t="n"/>
      <c r="R20" s="12" t="n"/>
      <c r="S20" s="11" t="n"/>
    </row>
    <row r="21" ht="19.5" customHeight="1">
      <c r="A21" s="15" t="n">
        <v>16</v>
      </c>
      <c r="B21" s="11" t="n"/>
      <c r="C21" s="11" t="n"/>
      <c r="D21" s="11" t="n"/>
      <c r="E21" s="11" t="n"/>
      <c r="F21" s="12" t="n"/>
      <c r="G21" s="13">
        <f>IF(F21="","",IF(F21+365&gt;=TODAY(),"✔ Vigente","✘ Vencido"))</f>
        <v/>
      </c>
      <c r="H21" s="12" t="n"/>
      <c r="I21" s="12" t="n"/>
      <c r="J21" s="13">
        <f>IF(I21="","",IF(I21+365&gt;=TODAY(),"✔ Vigente","✘ Vencido"))</f>
        <v/>
      </c>
      <c r="K21" s="13" t="n"/>
      <c r="L21" s="16">
        <f>IF(AND(F21&lt;&gt;"",ISNUMBER(F21),F21+365&gt;=TODAY(),H21&lt;&gt;"",ISNUMBER(H21),H21&gt;=DATE(YEAR(TODAY()),MONTH(TODAY())-1,1),I21&lt;&gt;"",ISNUMBER(I21),I21+365&gt;=TODAY(),K21="APTO"),"✔ ACCESO PERMITIDO","✘ SIN ACCESO")</f>
        <v/>
      </c>
      <c r="M21" s="12" t="n"/>
      <c r="N21" s="12" t="n"/>
      <c r="O21" s="12" t="n"/>
      <c r="P21" s="12" t="n"/>
      <c r="Q21" s="12" t="n"/>
      <c r="R21" s="12" t="n"/>
      <c r="S21" s="11" t="n"/>
    </row>
    <row r="22" ht="19.5" customHeight="1">
      <c r="A22" s="10" t="n">
        <v>17</v>
      </c>
      <c r="B22" s="11" t="n"/>
      <c r="C22" s="11" t="n"/>
      <c r="D22" s="11" t="n"/>
      <c r="E22" s="11" t="n"/>
      <c r="F22" s="12" t="n"/>
      <c r="G22" s="13">
        <f>IF(F22="","",IF(F22+365&gt;=TODAY(),"✔ Vigente","✘ Vencido"))</f>
        <v/>
      </c>
      <c r="H22" s="12" t="n"/>
      <c r="I22" s="12" t="n"/>
      <c r="J22" s="13">
        <f>IF(I22="","",IF(I22+365&gt;=TODAY(),"✔ Vigente","✘ Vencido"))</f>
        <v/>
      </c>
      <c r="K22" s="13" t="n"/>
      <c r="L22" s="14">
        <f>IF(AND(F22&lt;&gt;"",ISNUMBER(F22),F22+365&gt;=TODAY(),H22&lt;&gt;"",ISNUMBER(H22),H22&gt;=DATE(YEAR(TODAY()),MONTH(TODAY())-1,1),I22&lt;&gt;"",ISNUMBER(I22),I22+365&gt;=TODAY(),K22="APTO"),"✔ ACCESO PERMITIDO","✘ SIN ACCESO")</f>
        <v/>
      </c>
      <c r="M22" s="12" t="n"/>
      <c r="N22" s="12" t="n"/>
      <c r="O22" s="12" t="n"/>
      <c r="P22" s="12" t="n"/>
      <c r="Q22" s="12" t="n"/>
      <c r="R22" s="12" t="n"/>
      <c r="S22" s="11" t="n"/>
    </row>
    <row r="23" ht="19.5" customHeight="1">
      <c r="A23" s="15" t="n">
        <v>18</v>
      </c>
      <c r="B23" s="11" t="n"/>
      <c r="C23" s="11" t="n"/>
      <c r="D23" s="11" t="n"/>
      <c r="E23" s="11" t="n"/>
      <c r="F23" s="12" t="n"/>
      <c r="G23" s="13">
        <f>IF(F23="","",IF(F23+365&gt;=TODAY(),"✔ Vigente","✘ Vencido"))</f>
        <v/>
      </c>
      <c r="H23" s="12" t="n"/>
      <c r="I23" s="12" t="n"/>
      <c r="J23" s="13">
        <f>IF(I23="","",IF(I23+365&gt;=TODAY(),"✔ Vigente","✘ Vencido"))</f>
        <v/>
      </c>
      <c r="K23" s="13" t="n"/>
      <c r="L23" s="16">
        <f>IF(AND(F23&lt;&gt;"",ISNUMBER(F23),F23+365&gt;=TODAY(),H23&lt;&gt;"",ISNUMBER(H23),H23&gt;=DATE(YEAR(TODAY()),MONTH(TODAY())-1,1),I23&lt;&gt;"",ISNUMBER(I23),I23+365&gt;=TODAY(),K23="APTO"),"✔ ACCESO PERMITIDO","✘ SIN ACCESO")</f>
        <v/>
      </c>
      <c r="M23" s="12" t="n"/>
      <c r="N23" s="12" t="n"/>
      <c r="O23" s="12" t="n"/>
      <c r="P23" s="12" t="n"/>
      <c r="Q23" s="12" t="n"/>
      <c r="R23" s="12" t="n"/>
      <c r="S23" s="11" t="n"/>
    </row>
    <row r="24" ht="19.5" customHeight="1">
      <c r="A24" s="10" t="n">
        <v>19</v>
      </c>
      <c r="B24" s="11" t="n"/>
      <c r="C24" s="11" t="n"/>
      <c r="D24" s="11" t="n"/>
      <c r="E24" s="11" t="n"/>
      <c r="F24" s="12" t="n"/>
      <c r="G24" s="13">
        <f>IF(F24="","",IF(F24+365&gt;=TODAY(),"✔ Vigente","✘ Vencido"))</f>
        <v/>
      </c>
      <c r="H24" s="12" t="n"/>
      <c r="I24" s="12" t="n"/>
      <c r="J24" s="13">
        <f>IF(I24="","",IF(I24+365&gt;=TODAY(),"✔ Vigente","✘ Vencido"))</f>
        <v/>
      </c>
      <c r="K24" s="13" t="n"/>
      <c r="L24" s="14">
        <f>IF(AND(F24&lt;&gt;"",ISNUMBER(F24),F24+365&gt;=TODAY(),H24&lt;&gt;"",ISNUMBER(H24),H24&gt;=DATE(YEAR(TODAY()),MONTH(TODAY())-1,1),I24&lt;&gt;"",ISNUMBER(I24),I24+365&gt;=TODAY(),K24="APTO"),"✔ ACCESO PERMITIDO","✘ SIN ACCESO")</f>
        <v/>
      </c>
      <c r="M24" s="12" t="n"/>
      <c r="N24" s="12" t="n"/>
      <c r="O24" s="12" t="n"/>
      <c r="P24" s="12" t="n"/>
      <c r="Q24" s="12" t="n"/>
      <c r="R24" s="12" t="n"/>
      <c r="S24" s="11" t="n"/>
    </row>
    <row r="25" ht="19.5" customHeight="1">
      <c r="A25" s="15" t="n">
        <v>20</v>
      </c>
      <c r="B25" s="11" t="n"/>
      <c r="C25" s="11" t="n"/>
      <c r="D25" s="11" t="n"/>
      <c r="E25" s="11" t="n"/>
      <c r="F25" s="12" t="n"/>
      <c r="G25" s="13">
        <f>IF(F25="","",IF(F25+365&gt;=TODAY(),"✔ Vigente","✘ Vencido"))</f>
        <v/>
      </c>
      <c r="H25" s="12" t="n"/>
      <c r="I25" s="12" t="n"/>
      <c r="J25" s="13">
        <f>IF(I25="","",IF(I25+365&gt;=TODAY(),"✔ Vigente","✘ Vencido"))</f>
        <v/>
      </c>
      <c r="K25" s="13" t="n"/>
      <c r="L25" s="16">
        <f>IF(AND(F25&lt;&gt;"",ISNUMBER(F25),F25+365&gt;=TODAY(),H25&lt;&gt;"",ISNUMBER(H25),H25&gt;=DATE(YEAR(TODAY()),MONTH(TODAY())-1,1),I25&lt;&gt;"",ISNUMBER(I25),I25+365&gt;=TODAY(),K25="APTO"),"✔ ACCESO PERMITIDO","✘ SIN ACCESO")</f>
        <v/>
      </c>
      <c r="M25" s="12" t="n"/>
      <c r="N25" s="12" t="n"/>
      <c r="O25" s="12" t="n"/>
      <c r="P25" s="12" t="n"/>
      <c r="Q25" s="12" t="n"/>
      <c r="R25" s="12" t="n"/>
      <c r="S25" s="11" t="n"/>
    </row>
    <row r="26" ht="19.5" customHeight="1">
      <c r="A26" s="10" t="n">
        <v>21</v>
      </c>
      <c r="B26" s="11" t="n"/>
      <c r="C26" s="11" t="n"/>
      <c r="D26" s="11" t="n"/>
      <c r="E26" s="11" t="n"/>
      <c r="F26" s="12" t="n"/>
      <c r="G26" s="13">
        <f>IF(F26="","",IF(F26+365&gt;=TODAY(),"✔ Vigente","✘ Vencido"))</f>
        <v/>
      </c>
      <c r="H26" s="12" t="n"/>
      <c r="I26" s="12" t="n"/>
      <c r="J26" s="13">
        <f>IF(I26="","",IF(I26+365&gt;=TODAY(),"✔ Vigente","✘ Vencido"))</f>
        <v/>
      </c>
      <c r="K26" s="13" t="n"/>
      <c r="L26" s="14">
        <f>IF(AND(F26&lt;&gt;"",ISNUMBER(F26),F26+365&gt;=TODAY(),H26&lt;&gt;"",ISNUMBER(H26),H26&gt;=DATE(YEAR(TODAY()),MONTH(TODAY())-1,1),I26&lt;&gt;"",ISNUMBER(I26),I26+365&gt;=TODAY(),K26="APTO"),"✔ ACCESO PERMITIDO","✘ SIN ACCESO")</f>
        <v/>
      </c>
      <c r="M26" s="12" t="n"/>
      <c r="N26" s="12" t="n"/>
      <c r="O26" s="12" t="n"/>
      <c r="P26" s="12" t="n"/>
      <c r="Q26" s="12" t="n"/>
      <c r="R26" s="12" t="n"/>
      <c r="S26" s="11" t="n"/>
    </row>
    <row r="27" ht="19.5" customHeight="1">
      <c r="A27" s="15" t="n">
        <v>22</v>
      </c>
      <c r="B27" s="11" t="n"/>
      <c r="C27" s="11" t="n"/>
      <c r="D27" s="11" t="n"/>
      <c r="E27" s="11" t="n"/>
      <c r="F27" s="12" t="n"/>
      <c r="G27" s="13">
        <f>IF(F27="","",IF(F27+365&gt;=TODAY(),"✔ Vigente","✘ Vencido"))</f>
        <v/>
      </c>
      <c r="H27" s="12" t="n"/>
      <c r="I27" s="12" t="n"/>
      <c r="J27" s="13">
        <f>IF(I27="","",IF(I27+365&gt;=TODAY(),"✔ Vigente","✘ Vencido"))</f>
        <v/>
      </c>
      <c r="K27" s="13" t="n"/>
      <c r="L27" s="16">
        <f>IF(AND(F27&lt;&gt;"",ISNUMBER(F27),F27+365&gt;=TODAY(),H27&lt;&gt;"",ISNUMBER(H27),H27&gt;=DATE(YEAR(TODAY()),MONTH(TODAY())-1,1),I27&lt;&gt;"",ISNUMBER(I27),I27+365&gt;=TODAY(),K27="APTO"),"✔ ACCESO PERMITIDO","✘ SIN ACCESO")</f>
        <v/>
      </c>
      <c r="M27" s="12" t="n"/>
      <c r="N27" s="12" t="n"/>
      <c r="O27" s="12" t="n"/>
      <c r="P27" s="12" t="n"/>
      <c r="Q27" s="12" t="n"/>
      <c r="R27" s="12" t="n"/>
      <c r="S27" s="11" t="n"/>
    </row>
    <row r="28" ht="19.5" customHeight="1">
      <c r="A28" s="10" t="n">
        <v>23</v>
      </c>
      <c r="B28" s="11" t="n"/>
      <c r="C28" s="11" t="n"/>
      <c r="D28" s="11" t="n"/>
      <c r="E28" s="11" t="n"/>
      <c r="F28" s="12" t="n"/>
      <c r="G28" s="13">
        <f>IF(F28="","",IF(F28+365&gt;=TODAY(),"✔ Vigente","✘ Vencido"))</f>
        <v/>
      </c>
      <c r="H28" s="12" t="n"/>
      <c r="I28" s="12" t="n"/>
      <c r="J28" s="13">
        <f>IF(I28="","",IF(I28+365&gt;=TODAY(),"✔ Vigente","✘ Vencido"))</f>
        <v/>
      </c>
      <c r="K28" s="13" t="n"/>
      <c r="L28" s="14">
        <f>IF(AND(F28&lt;&gt;"",ISNUMBER(F28),F28+365&gt;=TODAY(),H28&lt;&gt;"",ISNUMBER(H28),H28&gt;=DATE(YEAR(TODAY()),MONTH(TODAY())-1,1),I28&lt;&gt;"",ISNUMBER(I28),I28+365&gt;=TODAY(),K28="APTO"),"✔ ACCESO PERMITIDO","✘ SIN ACCESO")</f>
        <v/>
      </c>
      <c r="M28" s="12" t="n"/>
      <c r="N28" s="12" t="n"/>
      <c r="O28" s="12" t="n"/>
      <c r="P28" s="12" t="n"/>
      <c r="Q28" s="12" t="n"/>
      <c r="R28" s="12" t="n"/>
      <c r="S28" s="11" t="n"/>
    </row>
    <row r="29" ht="19.5" customHeight="1">
      <c r="A29" s="15" t="n">
        <v>24</v>
      </c>
      <c r="B29" s="11" t="n"/>
      <c r="C29" s="11" t="n"/>
      <c r="D29" s="11" t="n"/>
      <c r="E29" s="11" t="n"/>
      <c r="F29" s="12" t="n"/>
      <c r="G29" s="13">
        <f>IF(F29="","",IF(F29+365&gt;=TODAY(),"✔ Vigente","✘ Vencido"))</f>
        <v/>
      </c>
      <c r="H29" s="12" t="n"/>
      <c r="I29" s="12" t="n"/>
      <c r="J29" s="13">
        <f>IF(I29="","",IF(I29+365&gt;=TODAY(),"✔ Vigente","✘ Vencido"))</f>
        <v/>
      </c>
      <c r="K29" s="13" t="n"/>
      <c r="L29" s="16">
        <f>IF(AND(F29&lt;&gt;"",ISNUMBER(F29),F29+365&gt;=TODAY(),H29&lt;&gt;"",ISNUMBER(H29),H29&gt;=DATE(YEAR(TODAY()),MONTH(TODAY())-1,1),I29&lt;&gt;"",ISNUMBER(I29),I29+365&gt;=TODAY(),K29="APTO"),"✔ ACCESO PERMITIDO","✘ SIN ACCESO")</f>
        <v/>
      </c>
      <c r="M29" s="12" t="n"/>
      <c r="N29" s="12" t="n"/>
      <c r="O29" s="12" t="n"/>
      <c r="P29" s="12" t="n"/>
      <c r="Q29" s="12" t="n"/>
      <c r="R29" s="12" t="n"/>
      <c r="S29" s="11" t="n"/>
    </row>
    <row r="30" ht="19.5" customHeight="1">
      <c r="A30" s="10" t="n">
        <v>25</v>
      </c>
      <c r="B30" s="11" t="n"/>
      <c r="C30" s="11" t="n"/>
      <c r="D30" s="11" t="n"/>
      <c r="E30" s="11" t="n"/>
      <c r="F30" s="12" t="n"/>
      <c r="G30" s="13">
        <f>IF(F30="","",IF(F30+365&gt;=TODAY(),"✔ Vigente","✘ Vencido"))</f>
        <v/>
      </c>
      <c r="H30" s="12" t="n"/>
      <c r="I30" s="12" t="n"/>
      <c r="J30" s="13">
        <f>IF(I30="","",IF(I30+365&gt;=TODAY(),"✔ Vigente","✘ Vencido"))</f>
        <v/>
      </c>
      <c r="K30" s="13" t="n"/>
      <c r="L30" s="14">
        <f>IF(AND(F30&lt;&gt;"",ISNUMBER(F30),F30+365&gt;=TODAY(),H30&lt;&gt;"",ISNUMBER(H30),H30&gt;=DATE(YEAR(TODAY()),MONTH(TODAY())-1,1),I30&lt;&gt;"",ISNUMBER(I30),I30+365&gt;=TODAY(),K30="APTO"),"✔ ACCESO PERMITIDO","✘ SIN ACCESO")</f>
        <v/>
      </c>
      <c r="M30" s="12" t="n"/>
      <c r="N30" s="12" t="n"/>
      <c r="O30" s="12" t="n"/>
      <c r="P30" s="12" t="n"/>
      <c r="Q30" s="12" t="n"/>
      <c r="R30" s="12" t="n"/>
      <c r="S30" s="11" t="n"/>
    </row>
    <row r="31" ht="19.5" customHeight="1">
      <c r="A31" s="15" t="n">
        <v>26</v>
      </c>
      <c r="B31" s="11" t="n"/>
      <c r="C31" s="11" t="n"/>
      <c r="D31" s="11" t="n"/>
      <c r="E31" s="11" t="n"/>
      <c r="F31" s="12" t="n"/>
      <c r="G31" s="13">
        <f>IF(F31="","",IF(F31+365&gt;=TODAY(),"✔ Vigente","✘ Vencido"))</f>
        <v/>
      </c>
      <c r="H31" s="12" t="n"/>
      <c r="I31" s="12" t="n"/>
      <c r="J31" s="13">
        <f>IF(I31="","",IF(I31+365&gt;=TODAY(),"✔ Vigente","✘ Vencido"))</f>
        <v/>
      </c>
      <c r="K31" s="13" t="n"/>
      <c r="L31" s="16">
        <f>IF(AND(F31&lt;&gt;"",ISNUMBER(F31),F31+365&gt;=TODAY(),H31&lt;&gt;"",ISNUMBER(H31),H31&gt;=DATE(YEAR(TODAY()),MONTH(TODAY())-1,1),I31&lt;&gt;"",ISNUMBER(I31),I31+365&gt;=TODAY(),K31="APTO"),"✔ ACCESO PERMITIDO","✘ SIN ACCESO")</f>
        <v/>
      </c>
      <c r="M31" s="12" t="n"/>
      <c r="N31" s="12" t="n"/>
      <c r="O31" s="12" t="n"/>
      <c r="P31" s="12" t="n"/>
      <c r="Q31" s="12" t="n"/>
      <c r="R31" s="12" t="n"/>
      <c r="S31" s="11" t="n"/>
    </row>
    <row r="32" ht="19.5" customHeight="1">
      <c r="A32" s="10" t="n">
        <v>27</v>
      </c>
      <c r="B32" s="11" t="n"/>
      <c r="C32" s="11" t="n"/>
      <c r="D32" s="11" t="n"/>
      <c r="E32" s="11" t="n"/>
      <c r="F32" s="12" t="n"/>
      <c r="G32" s="13">
        <f>IF(F32="","",IF(F32+365&gt;=TODAY(),"✔ Vigente","✘ Vencido"))</f>
        <v/>
      </c>
      <c r="H32" s="12" t="n"/>
      <c r="I32" s="12" t="n"/>
      <c r="J32" s="13">
        <f>IF(I32="","",IF(I32+365&gt;=TODAY(),"✔ Vigente","✘ Vencido"))</f>
        <v/>
      </c>
      <c r="K32" s="13" t="n"/>
      <c r="L32" s="14">
        <f>IF(AND(F32&lt;&gt;"",ISNUMBER(F32),F32+365&gt;=TODAY(),H32&lt;&gt;"",ISNUMBER(H32),H32&gt;=DATE(YEAR(TODAY()),MONTH(TODAY())-1,1),I32&lt;&gt;"",ISNUMBER(I32),I32+365&gt;=TODAY(),K32="APTO"),"✔ ACCESO PERMITIDO","✘ SIN ACCESO")</f>
        <v/>
      </c>
      <c r="M32" s="12" t="n"/>
      <c r="N32" s="12" t="n"/>
      <c r="O32" s="12" t="n"/>
      <c r="P32" s="12" t="n"/>
      <c r="Q32" s="12" t="n"/>
      <c r="R32" s="12" t="n"/>
      <c r="S32" s="11" t="n"/>
    </row>
    <row r="33" ht="19.5" customHeight="1">
      <c r="A33" s="15" t="n">
        <v>28</v>
      </c>
      <c r="B33" s="11" t="n"/>
      <c r="C33" s="11" t="n"/>
      <c r="D33" s="11" t="n"/>
      <c r="E33" s="11" t="n"/>
      <c r="F33" s="12" t="n"/>
      <c r="G33" s="13">
        <f>IF(F33="","",IF(F33+365&gt;=TODAY(),"✔ Vigente","✘ Vencido"))</f>
        <v/>
      </c>
      <c r="H33" s="12" t="n"/>
      <c r="I33" s="12" t="n"/>
      <c r="J33" s="13">
        <f>IF(I33="","",IF(I33+365&gt;=TODAY(),"✔ Vigente","✘ Vencido"))</f>
        <v/>
      </c>
      <c r="K33" s="13" t="n"/>
      <c r="L33" s="16">
        <f>IF(AND(F33&lt;&gt;"",ISNUMBER(F33),F33+365&gt;=TODAY(),H33&lt;&gt;"",ISNUMBER(H33),H33&gt;=DATE(YEAR(TODAY()),MONTH(TODAY())-1,1),I33&lt;&gt;"",ISNUMBER(I33),I33+365&gt;=TODAY(),K33="APTO"),"✔ ACCESO PERMITIDO","✘ SIN ACCESO")</f>
        <v/>
      </c>
      <c r="M33" s="12" t="n"/>
      <c r="N33" s="12" t="n"/>
      <c r="O33" s="12" t="n"/>
      <c r="P33" s="12" t="n"/>
      <c r="Q33" s="12" t="n"/>
      <c r="R33" s="12" t="n"/>
      <c r="S33" s="11" t="n"/>
    </row>
    <row r="34" ht="19.5" customHeight="1">
      <c r="A34" s="10" t="n">
        <v>29</v>
      </c>
      <c r="B34" s="11" t="n"/>
      <c r="C34" s="11" t="n"/>
      <c r="D34" s="11" t="n"/>
      <c r="E34" s="11" t="n"/>
      <c r="F34" s="12" t="n"/>
      <c r="G34" s="13">
        <f>IF(F34="","",IF(F34+365&gt;=TODAY(),"✔ Vigente","✘ Vencido"))</f>
        <v/>
      </c>
      <c r="H34" s="12" t="n"/>
      <c r="I34" s="12" t="n"/>
      <c r="J34" s="13">
        <f>IF(I34="","",IF(I34+365&gt;=TODAY(),"✔ Vigente","✘ Vencido"))</f>
        <v/>
      </c>
      <c r="K34" s="13" t="n"/>
      <c r="L34" s="14">
        <f>IF(AND(F34&lt;&gt;"",ISNUMBER(F34),F34+365&gt;=TODAY(),H34&lt;&gt;"",ISNUMBER(H34),H34&gt;=DATE(YEAR(TODAY()),MONTH(TODAY())-1,1),I34&lt;&gt;"",ISNUMBER(I34),I34+365&gt;=TODAY(),K34="APTO"),"✔ ACCESO PERMITIDO","✘ SIN ACCESO")</f>
        <v/>
      </c>
      <c r="M34" s="12" t="n"/>
      <c r="N34" s="12" t="n"/>
      <c r="O34" s="12" t="n"/>
      <c r="P34" s="12" t="n"/>
      <c r="Q34" s="12" t="n"/>
      <c r="R34" s="12" t="n"/>
      <c r="S34" s="11" t="n"/>
    </row>
    <row r="35" ht="19.5" customHeight="1">
      <c r="A35" s="15" t="n">
        <v>30</v>
      </c>
      <c r="B35" s="11" t="n"/>
      <c r="C35" s="11" t="n"/>
      <c r="D35" s="11" t="n"/>
      <c r="E35" s="11" t="n"/>
      <c r="F35" s="12" t="n"/>
      <c r="G35" s="13">
        <f>IF(F35="","",IF(F35+365&gt;=TODAY(),"✔ Vigente","✘ Vencido"))</f>
        <v/>
      </c>
      <c r="H35" s="12" t="n"/>
      <c r="I35" s="12" t="n"/>
      <c r="J35" s="13">
        <f>IF(I35="","",IF(I35+365&gt;=TODAY(),"✔ Vigente","✘ Vencido"))</f>
        <v/>
      </c>
      <c r="K35" s="13" t="n"/>
      <c r="L35" s="16">
        <f>IF(AND(F35&lt;&gt;"",ISNUMBER(F35),F35+365&gt;=TODAY(),H35&lt;&gt;"",ISNUMBER(H35),H35&gt;=DATE(YEAR(TODAY()),MONTH(TODAY())-1,1),I35&lt;&gt;"",ISNUMBER(I35),I35+365&gt;=TODAY(),K35="APTO"),"✔ ACCESO PERMITIDO","✘ SIN ACCESO")</f>
        <v/>
      </c>
      <c r="M35" s="12" t="n"/>
      <c r="N35" s="12" t="n"/>
      <c r="O35" s="12" t="n"/>
      <c r="P35" s="12" t="n"/>
      <c r="Q35" s="12" t="n"/>
      <c r="R35" s="12" t="n"/>
      <c r="S35" s="11" t="n"/>
    </row>
    <row r="36" ht="19.5" customHeight="1">
      <c r="A36" s="10" t="n">
        <v>31</v>
      </c>
      <c r="B36" s="11" t="n"/>
      <c r="C36" s="11" t="n"/>
      <c r="D36" s="11" t="n"/>
      <c r="E36" s="11" t="n"/>
      <c r="F36" s="12" t="n"/>
      <c r="G36" s="13">
        <f>IF(F36="","",IF(F36+365&gt;=TODAY(),"✔ Vigente","✘ Vencido"))</f>
        <v/>
      </c>
      <c r="H36" s="12" t="n"/>
      <c r="I36" s="12" t="n"/>
      <c r="J36" s="13">
        <f>IF(I36="","",IF(I36+365&gt;=TODAY(),"✔ Vigente","✘ Vencido"))</f>
        <v/>
      </c>
      <c r="K36" s="13" t="n"/>
      <c r="L36" s="14">
        <f>IF(AND(F36&lt;&gt;"",ISNUMBER(F36),F36+365&gt;=TODAY(),H36&lt;&gt;"",ISNUMBER(H36),H36&gt;=DATE(YEAR(TODAY()),MONTH(TODAY())-1,1),I36&lt;&gt;"",ISNUMBER(I36),I36+365&gt;=TODAY(),K36="APTO"),"✔ ACCESO PERMITIDO","✘ SIN ACCESO")</f>
        <v/>
      </c>
      <c r="M36" s="12" t="n"/>
      <c r="N36" s="12" t="n"/>
      <c r="O36" s="12" t="n"/>
      <c r="P36" s="12" t="n"/>
      <c r="Q36" s="12" t="n"/>
      <c r="R36" s="12" t="n"/>
      <c r="S36" s="11" t="n"/>
    </row>
    <row r="37" ht="19.5" customHeight="1">
      <c r="A37" s="15" t="n">
        <v>32</v>
      </c>
      <c r="B37" s="11" t="n"/>
      <c r="C37" s="11" t="n"/>
      <c r="D37" s="11" t="n"/>
      <c r="E37" s="11" t="n"/>
      <c r="F37" s="12" t="n"/>
      <c r="G37" s="13">
        <f>IF(F37="","",IF(F37+365&gt;=TODAY(),"✔ Vigente","✘ Vencido"))</f>
        <v/>
      </c>
      <c r="H37" s="12" t="n"/>
      <c r="I37" s="12" t="n"/>
      <c r="J37" s="13">
        <f>IF(I37="","",IF(I37+365&gt;=TODAY(),"✔ Vigente","✘ Vencido"))</f>
        <v/>
      </c>
      <c r="K37" s="13" t="n"/>
      <c r="L37" s="16">
        <f>IF(AND(F37&lt;&gt;"",ISNUMBER(F37),F37+365&gt;=TODAY(),H37&lt;&gt;"",ISNUMBER(H37),H37&gt;=DATE(YEAR(TODAY()),MONTH(TODAY())-1,1),I37&lt;&gt;"",ISNUMBER(I37),I37+365&gt;=TODAY(),K37="APTO"),"✔ ACCESO PERMITIDO","✘ SIN ACCESO")</f>
        <v/>
      </c>
      <c r="M37" s="12" t="n"/>
      <c r="N37" s="12" t="n"/>
      <c r="O37" s="12" t="n"/>
      <c r="P37" s="12" t="n"/>
      <c r="Q37" s="12" t="n"/>
      <c r="R37" s="12" t="n"/>
      <c r="S37" s="11" t="n"/>
    </row>
    <row r="38" ht="19.5" customHeight="1">
      <c r="A38" s="10" t="n">
        <v>33</v>
      </c>
      <c r="B38" s="11" t="n"/>
      <c r="C38" s="11" t="n"/>
      <c r="D38" s="11" t="n"/>
      <c r="E38" s="11" t="n"/>
      <c r="F38" s="12" t="n"/>
      <c r="G38" s="13">
        <f>IF(F38="","",IF(F38+365&gt;=TODAY(),"✔ Vigente","✘ Vencido"))</f>
        <v/>
      </c>
      <c r="H38" s="12" t="n"/>
      <c r="I38" s="12" t="n"/>
      <c r="J38" s="13">
        <f>IF(I38="","",IF(I38+365&gt;=TODAY(),"✔ Vigente","✘ Vencido"))</f>
        <v/>
      </c>
      <c r="K38" s="13" t="n"/>
      <c r="L38" s="14">
        <f>IF(AND(F38&lt;&gt;"",ISNUMBER(F38),F38+365&gt;=TODAY(),H38&lt;&gt;"",ISNUMBER(H38),H38&gt;=DATE(YEAR(TODAY()),MONTH(TODAY())-1,1),I38&lt;&gt;"",ISNUMBER(I38),I38+365&gt;=TODAY(),K38="APTO"),"✔ ACCESO PERMITIDO","✘ SIN ACCESO")</f>
        <v/>
      </c>
      <c r="M38" s="12" t="n"/>
      <c r="N38" s="12" t="n"/>
      <c r="O38" s="12" t="n"/>
      <c r="P38" s="12" t="n"/>
      <c r="Q38" s="12" t="n"/>
      <c r="R38" s="12" t="n"/>
      <c r="S38" s="11" t="n"/>
    </row>
    <row r="39" ht="19.5" customHeight="1">
      <c r="A39" s="15" t="n">
        <v>34</v>
      </c>
      <c r="B39" s="11" t="n"/>
      <c r="C39" s="11" t="n"/>
      <c r="D39" s="11" t="n"/>
      <c r="E39" s="11" t="n"/>
      <c r="F39" s="12" t="n"/>
      <c r="G39" s="13">
        <f>IF(F39="","",IF(F39+365&gt;=TODAY(),"✔ Vigente","✘ Vencido"))</f>
        <v/>
      </c>
      <c r="H39" s="12" t="n"/>
      <c r="I39" s="12" t="n"/>
      <c r="J39" s="13">
        <f>IF(I39="","",IF(I39+365&gt;=TODAY(),"✔ Vigente","✘ Vencido"))</f>
        <v/>
      </c>
      <c r="K39" s="13" t="n"/>
      <c r="L39" s="16">
        <f>IF(AND(F39&lt;&gt;"",ISNUMBER(F39),F39+365&gt;=TODAY(),H39&lt;&gt;"",ISNUMBER(H39),H39&gt;=DATE(YEAR(TODAY()),MONTH(TODAY())-1,1),I39&lt;&gt;"",ISNUMBER(I39),I39+365&gt;=TODAY(),K39="APTO"),"✔ ACCESO PERMITIDO","✘ SIN ACCESO")</f>
        <v/>
      </c>
      <c r="M39" s="12" t="n"/>
      <c r="N39" s="12" t="n"/>
      <c r="O39" s="12" t="n"/>
      <c r="P39" s="12" t="n"/>
      <c r="Q39" s="12" t="n"/>
      <c r="R39" s="12" t="n"/>
      <c r="S39" s="11" t="n"/>
    </row>
    <row r="40" ht="19.5" customHeight="1">
      <c r="A40" s="10" t="n">
        <v>35</v>
      </c>
      <c r="B40" s="11" t="n"/>
      <c r="C40" s="11" t="n"/>
      <c r="D40" s="11" t="n"/>
      <c r="E40" s="11" t="n"/>
      <c r="F40" s="12" t="n"/>
      <c r="G40" s="13">
        <f>IF(F40="","",IF(F40+365&gt;=TODAY(),"✔ Vigente","✘ Vencido"))</f>
        <v/>
      </c>
      <c r="H40" s="12" t="n"/>
      <c r="I40" s="12" t="n"/>
      <c r="J40" s="13">
        <f>IF(I40="","",IF(I40+365&gt;=TODAY(),"✔ Vigente","✘ Vencido"))</f>
        <v/>
      </c>
      <c r="K40" s="13" t="n"/>
      <c r="L40" s="14">
        <f>IF(AND(F40&lt;&gt;"",ISNUMBER(F40),F40+365&gt;=TODAY(),H40&lt;&gt;"",ISNUMBER(H40),H40&gt;=DATE(YEAR(TODAY()),MONTH(TODAY())-1,1),I40&lt;&gt;"",ISNUMBER(I40),I40+365&gt;=TODAY(),K40="APTO"),"✔ ACCESO PERMITIDO","✘ SIN ACCESO")</f>
        <v/>
      </c>
      <c r="M40" s="12" t="n"/>
      <c r="N40" s="12" t="n"/>
      <c r="O40" s="12" t="n"/>
      <c r="P40" s="12" t="n"/>
      <c r="Q40" s="12" t="n"/>
      <c r="R40" s="12" t="n"/>
      <c r="S40" s="11" t="n"/>
    </row>
    <row r="41" ht="19.5" customHeight="1">
      <c r="A41" s="15" t="n">
        <v>36</v>
      </c>
      <c r="B41" s="11" t="n"/>
      <c r="C41" s="11" t="n"/>
      <c r="D41" s="11" t="n"/>
      <c r="E41" s="11" t="n"/>
      <c r="F41" s="12" t="n"/>
      <c r="G41" s="13">
        <f>IF(F41="","",IF(F41+365&gt;=TODAY(),"✔ Vigente","✘ Vencido"))</f>
        <v/>
      </c>
      <c r="H41" s="12" t="n"/>
      <c r="I41" s="12" t="n"/>
      <c r="J41" s="13">
        <f>IF(I41="","",IF(I41+365&gt;=TODAY(),"✔ Vigente","✘ Vencido"))</f>
        <v/>
      </c>
      <c r="K41" s="13" t="n"/>
      <c r="L41" s="16">
        <f>IF(AND(F41&lt;&gt;"",ISNUMBER(F41),F41+365&gt;=TODAY(),H41&lt;&gt;"",ISNUMBER(H41),H41&gt;=DATE(YEAR(TODAY()),MONTH(TODAY())-1,1),I41&lt;&gt;"",ISNUMBER(I41),I41+365&gt;=TODAY(),K41="APTO"),"✔ ACCESO PERMITIDO","✘ SIN ACCESO")</f>
        <v/>
      </c>
      <c r="M41" s="12" t="n"/>
      <c r="N41" s="12" t="n"/>
      <c r="O41" s="12" t="n"/>
      <c r="P41" s="12" t="n"/>
      <c r="Q41" s="12" t="n"/>
      <c r="R41" s="12" t="n"/>
      <c r="S41" s="11" t="n"/>
    </row>
    <row r="42" ht="19.5" customHeight="1">
      <c r="A42" s="10" t="n">
        <v>37</v>
      </c>
      <c r="B42" s="11" t="n"/>
      <c r="C42" s="11" t="n"/>
      <c r="D42" s="11" t="n"/>
      <c r="E42" s="11" t="n"/>
      <c r="F42" s="12" t="n"/>
      <c r="G42" s="13">
        <f>IF(F42="","",IF(F42+365&gt;=TODAY(),"✔ Vigente","✘ Vencido"))</f>
        <v/>
      </c>
      <c r="H42" s="12" t="n"/>
      <c r="I42" s="12" t="n"/>
      <c r="J42" s="13">
        <f>IF(I42="","",IF(I42+365&gt;=TODAY(),"✔ Vigente","✘ Vencido"))</f>
        <v/>
      </c>
      <c r="K42" s="13" t="n"/>
      <c r="L42" s="14">
        <f>IF(AND(F42&lt;&gt;"",ISNUMBER(F42),F42+365&gt;=TODAY(),H42&lt;&gt;"",ISNUMBER(H42),H42&gt;=DATE(YEAR(TODAY()),MONTH(TODAY())-1,1),I42&lt;&gt;"",ISNUMBER(I42),I42+365&gt;=TODAY(),K42="APTO"),"✔ ACCESO PERMITIDO","✘ SIN ACCESO")</f>
        <v/>
      </c>
      <c r="M42" s="12" t="n"/>
      <c r="N42" s="12" t="n"/>
      <c r="O42" s="12" t="n"/>
      <c r="P42" s="12" t="n"/>
      <c r="Q42" s="12" t="n"/>
      <c r="R42" s="12" t="n"/>
      <c r="S42" s="11" t="n"/>
    </row>
    <row r="43" ht="19.5" customHeight="1">
      <c r="A43" s="15" t="n">
        <v>38</v>
      </c>
      <c r="B43" s="11" t="n"/>
      <c r="C43" s="11" t="n"/>
      <c r="D43" s="11" t="n"/>
      <c r="E43" s="11" t="n"/>
      <c r="F43" s="12" t="n"/>
      <c r="G43" s="13">
        <f>IF(F43="","",IF(F43+365&gt;=TODAY(),"✔ Vigente","✘ Vencido"))</f>
        <v/>
      </c>
      <c r="H43" s="12" t="n"/>
      <c r="I43" s="12" t="n"/>
      <c r="J43" s="13">
        <f>IF(I43="","",IF(I43+365&gt;=TODAY(),"✔ Vigente","✘ Vencido"))</f>
        <v/>
      </c>
      <c r="K43" s="13" t="n"/>
      <c r="L43" s="16">
        <f>IF(AND(F43&lt;&gt;"",ISNUMBER(F43),F43+365&gt;=TODAY(),H43&lt;&gt;"",ISNUMBER(H43),H43&gt;=DATE(YEAR(TODAY()),MONTH(TODAY())-1,1),I43&lt;&gt;"",ISNUMBER(I43),I43+365&gt;=TODAY(),K43="APTO"),"✔ ACCESO PERMITIDO","✘ SIN ACCESO")</f>
        <v/>
      </c>
      <c r="M43" s="12" t="n"/>
      <c r="N43" s="12" t="n"/>
      <c r="O43" s="12" t="n"/>
      <c r="P43" s="12" t="n"/>
      <c r="Q43" s="12" t="n"/>
      <c r="R43" s="12" t="n"/>
      <c r="S43" s="11" t="n"/>
    </row>
    <row r="44" ht="19.5" customHeight="1">
      <c r="A44" s="10" t="n">
        <v>39</v>
      </c>
      <c r="B44" s="11" t="n"/>
      <c r="C44" s="11" t="n"/>
      <c r="D44" s="11" t="n"/>
      <c r="E44" s="11" t="n"/>
      <c r="F44" s="12" t="n"/>
      <c r="G44" s="13">
        <f>IF(F44="","",IF(F44+365&gt;=TODAY(),"✔ Vigente","✘ Vencido"))</f>
        <v/>
      </c>
      <c r="H44" s="12" t="n"/>
      <c r="I44" s="12" t="n"/>
      <c r="J44" s="13">
        <f>IF(I44="","",IF(I44+365&gt;=TODAY(),"✔ Vigente","✘ Vencido"))</f>
        <v/>
      </c>
      <c r="K44" s="13" t="n"/>
      <c r="L44" s="14">
        <f>IF(AND(F44&lt;&gt;"",ISNUMBER(F44),F44+365&gt;=TODAY(),H44&lt;&gt;"",ISNUMBER(H44),H44&gt;=DATE(YEAR(TODAY()),MONTH(TODAY())-1,1),I44&lt;&gt;"",ISNUMBER(I44),I44+365&gt;=TODAY(),K44="APTO"),"✔ ACCESO PERMITIDO","✘ SIN ACCESO")</f>
        <v/>
      </c>
      <c r="M44" s="12" t="n"/>
      <c r="N44" s="12" t="n"/>
      <c r="O44" s="12" t="n"/>
      <c r="P44" s="12" t="n"/>
      <c r="Q44" s="12" t="n"/>
      <c r="R44" s="12" t="n"/>
      <c r="S44" s="11" t="n"/>
    </row>
    <row r="45" ht="19.5" customHeight="1">
      <c r="A45" s="15" t="n">
        <v>40</v>
      </c>
      <c r="B45" s="11" t="n"/>
      <c r="C45" s="11" t="n"/>
      <c r="D45" s="11" t="n"/>
      <c r="E45" s="11" t="n"/>
      <c r="F45" s="12" t="n"/>
      <c r="G45" s="13">
        <f>IF(F45="","",IF(F45+365&gt;=TODAY(),"✔ Vigente","✘ Vencido"))</f>
        <v/>
      </c>
      <c r="H45" s="12" t="n"/>
      <c r="I45" s="12" t="n"/>
      <c r="J45" s="13">
        <f>IF(I45="","",IF(I45+365&gt;=TODAY(),"✔ Vigente","✘ Vencido"))</f>
        <v/>
      </c>
      <c r="K45" s="13" t="n"/>
      <c r="L45" s="16">
        <f>IF(AND(F45&lt;&gt;"",ISNUMBER(F45),F45+365&gt;=TODAY(),H45&lt;&gt;"",ISNUMBER(H45),H45&gt;=DATE(YEAR(TODAY()),MONTH(TODAY())-1,1),I45&lt;&gt;"",ISNUMBER(I45),I45+365&gt;=TODAY(),K45="APTO"),"✔ ACCESO PERMITIDO","✘ SIN ACCESO")</f>
        <v/>
      </c>
      <c r="M45" s="12" t="n"/>
      <c r="N45" s="12" t="n"/>
      <c r="O45" s="12" t="n"/>
      <c r="P45" s="12" t="n"/>
      <c r="Q45" s="12" t="n"/>
      <c r="R45" s="12" t="n"/>
      <c r="S45" s="11" t="n"/>
    </row>
    <row r="46" ht="19.5" customHeight="1">
      <c r="A46" s="10" t="n">
        <v>41</v>
      </c>
      <c r="B46" s="11" t="n"/>
      <c r="C46" s="11" t="n"/>
      <c r="D46" s="11" t="n"/>
      <c r="E46" s="11" t="n"/>
      <c r="F46" s="12" t="n"/>
      <c r="G46" s="13">
        <f>IF(F46="","",IF(F46+365&gt;=TODAY(),"✔ Vigente","✘ Vencido"))</f>
        <v/>
      </c>
      <c r="H46" s="12" t="n"/>
      <c r="I46" s="12" t="n"/>
      <c r="J46" s="13">
        <f>IF(I46="","",IF(I46+365&gt;=TODAY(),"✔ Vigente","✘ Vencido"))</f>
        <v/>
      </c>
      <c r="K46" s="13" t="n"/>
      <c r="L46" s="14">
        <f>IF(AND(F46&lt;&gt;"",ISNUMBER(F46),F46+365&gt;=TODAY(),H46&lt;&gt;"",ISNUMBER(H46),H46&gt;=DATE(YEAR(TODAY()),MONTH(TODAY())-1,1),I46&lt;&gt;"",ISNUMBER(I46),I46+365&gt;=TODAY(),K46="APTO"),"✔ ACCESO PERMITIDO","✘ SIN ACCESO")</f>
        <v/>
      </c>
      <c r="M46" s="12" t="n"/>
      <c r="N46" s="12" t="n"/>
      <c r="O46" s="12" t="n"/>
      <c r="P46" s="12" t="n"/>
      <c r="Q46" s="12" t="n"/>
      <c r="R46" s="12" t="n"/>
      <c r="S46" s="11" t="n"/>
    </row>
    <row r="47" ht="19.5" customHeight="1">
      <c r="A47" s="15" t="n">
        <v>42</v>
      </c>
      <c r="B47" s="11" t="n"/>
      <c r="C47" s="11" t="n"/>
      <c r="D47" s="11" t="n"/>
      <c r="E47" s="11" t="n"/>
      <c r="F47" s="12" t="n"/>
      <c r="G47" s="13">
        <f>IF(F47="","",IF(F47+365&gt;=TODAY(),"✔ Vigente","✘ Vencido"))</f>
        <v/>
      </c>
      <c r="H47" s="12" t="n"/>
      <c r="I47" s="12" t="n"/>
      <c r="J47" s="13">
        <f>IF(I47="","",IF(I47+365&gt;=TODAY(),"✔ Vigente","✘ Vencido"))</f>
        <v/>
      </c>
      <c r="K47" s="13" t="n"/>
      <c r="L47" s="16">
        <f>IF(AND(F47&lt;&gt;"",ISNUMBER(F47),F47+365&gt;=TODAY(),H47&lt;&gt;"",ISNUMBER(H47),H47&gt;=DATE(YEAR(TODAY()),MONTH(TODAY())-1,1),I47&lt;&gt;"",ISNUMBER(I47),I47+365&gt;=TODAY(),K47="APTO"),"✔ ACCESO PERMITIDO","✘ SIN ACCESO")</f>
        <v/>
      </c>
      <c r="M47" s="12" t="n"/>
      <c r="N47" s="12" t="n"/>
      <c r="O47" s="12" t="n"/>
      <c r="P47" s="12" t="n"/>
      <c r="Q47" s="12" t="n"/>
      <c r="R47" s="12" t="n"/>
      <c r="S47" s="11" t="n"/>
    </row>
    <row r="48" ht="19.5" customHeight="1">
      <c r="A48" s="10" t="n">
        <v>43</v>
      </c>
      <c r="B48" s="11" t="n"/>
      <c r="C48" s="11" t="n"/>
      <c r="D48" s="11" t="n"/>
      <c r="E48" s="11" t="n"/>
      <c r="F48" s="12" t="n"/>
      <c r="G48" s="13">
        <f>IF(F48="","",IF(F48+365&gt;=TODAY(),"✔ Vigente","✘ Vencido"))</f>
        <v/>
      </c>
      <c r="H48" s="12" t="n"/>
      <c r="I48" s="12" t="n"/>
      <c r="J48" s="13">
        <f>IF(I48="","",IF(I48+365&gt;=TODAY(),"✔ Vigente","✘ Vencido"))</f>
        <v/>
      </c>
      <c r="K48" s="13" t="n"/>
      <c r="L48" s="14">
        <f>IF(AND(F48&lt;&gt;"",ISNUMBER(F48),F48+365&gt;=TODAY(),H48&lt;&gt;"",ISNUMBER(H48),H48&gt;=DATE(YEAR(TODAY()),MONTH(TODAY())-1,1),I48&lt;&gt;"",ISNUMBER(I48),I48+365&gt;=TODAY(),K48="APTO"),"✔ ACCESO PERMITIDO","✘ SIN ACCESO")</f>
        <v/>
      </c>
      <c r="M48" s="12" t="n"/>
      <c r="N48" s="12" t="n"/>
      <c r="O48" s="12" t="n"/>
      <c r="P48" s="12" t="n"/>
      <c r="Q48" s="12" t="n"/>
      <c r="R48" s="12" t="n"/>
      <c r="S48" s="11" t="n"/>
    </row>
    <row r="49" ht="19.5" customHeight="1">
      <c r="A49" s="15" t="n">
        <v>44</v>
      </c>
      <c r="B49" s="11" t="n"/>
      <c r="C49" s="11" t="n"/>
      <c r="D49" s="11" t="n"/>
      <c r="E49" s="11" t="n"/>
      <c r="F49" s="12" t="n"/>
      <c r="G49" s="13">
        <f>IF(F49="","",IF(F49+365&gt;=TODAY(),"✔ Vigente","✘ Vencido"))</f>
        <v/>
      </c>
      <c r="H49" s="12" t="n"/>
      <c r="I49" s="12" t="n"/>
      <c r="J49" s="13">
        <f>IF(I49="","",IF(I49+365&gt;=TODAY(),"✔ Vigente","✘ Vencido"))</f>
        <v/>
      </c>
      <c r="K49" s="13" t="n"/>
      <c r="L49" s="16">
        <f>IF(AND(F49&lt;&gt;"",ISNUMBER(F49),F49+365&gt;=TODAY(),H49&lt;&gt;"",ISNUMBER(H49),H49&gt;=DATE(YEAR(TODAY()),MONTH(TODAY())-1,1),I49&lt;&gt;"",ISNUMBER(I49),I49+365&gt;=TODAY(),K49="APTO"),"✔ ACCESO PERMITIDO","✘ SIN ACCESO")</f>
        <v/>
      </c>
      <c r="M49" s="12" t="n"/>
      <c r="N49" s="12" t="n"/>
      <c r="O49" s="12" t="n"/>
      <c r="P49" s="12" t="n"/>
      <c r="Q49" s="12" t="n"/>
      <c r="R49" s="12" t="n"/>
      <c r="S49" s="11" t="n"/>
    </row>
    <row r="50" ht="19.5" customHeight="1">
      <c r="A50" s="10" t="n">
        <v>45</v>
      </c>
      <c r="B50" s="11" t="n"/>
      <c r="C50" s="11" t="n"/>
      <c r="D50" s="11" t="n"/>
      <c r="E50" s="11" t="n"/>
      <c r="F50" s="12" t="n"/>
      <c r="G50" s="13">
        <f>IF(F50="","",IF(F50+365&gt;=TODAY(),"✔ Vigente","✘ Vencido"))</f>
        <v/>
      </c>
      <c r="H50" s="12" t="n"/>
      <c r="I50" s="12" t="n"/>
      <c r="J50" s="13">
        <f>IF(I50="","",IF(I50+365&gt;=TODAY(),"✔ Vigente","✘ Vencido"))</f>
        <v/>
      </c>
      <c r="K50" s="13" t="n"/>
      <c r="L50" s="14">
        <f>IF(AND(F50&lt;&gt;"",ISNUMBER(F50),F50+365&gt;=TODAY(),H50&lt;&gt;"",ISNUMBER(H50),H50&gt;=DATE(YEAR(TODAY()),MONTH(TODAY())-1,1),I50&lt;&gt;"",ISNUMBER(I50),I50+365&gt;=TODAY(),K50="APTO"),"✔ ACCESO PERMITIDO","✘ SIN ACCESO")</f>
        <v/>
      </c>
      <c r="M50" s="12" t="n"/>
      <c r="N50" s="12" t="n"/>
      <c r="O50" s="12" t="n"/>
      <c r="P50" s="12" t="n"/>
      <c r="Q50" s="12" t="n"/>
      <c r="R50" s="12" t="n"/>
      <c r="S50" s="11" t="n"/>
    </row>
    <row r="51" ht="19.5" customHeight="1">
      <c r="A51" s="15" t="n">
        <v>46</v>
      </c>
      <c r="B51" s="11" t="n"/>
      <c r="C51" s="11" t="n"/>
      <c r="D51" s="11" t="n"/>
      <c r="E51" s="11" t="n"/>
      <c r="F51" s="12" t="n"/>
      <c r="G51" s="13">
        <f>IF(F51="","",IF(F51+365&gt;=TODAY(),"✔ Vigente","✘ Vencido"))</f>
        <v/>
      </c>
      <c r="H51" s="12" t="n"/>
      <c r="I51" s="12" t="n"/>
      <c r="J51" s="13">
        <f>IF(I51="","",IF(I51+365&gt;=TODAY(),"✔ Vigente","✘ Vencido"))</f>
        <v/>
      </c>
      <c r="K51" s="13" t="n"/>
      <c r="L51" s="16">
        <f>IF(AND(F51&lt;&gt;"",ISNUMBER(F51),F51+365&gt;=TODAY(),H51&lt;&gt;"",ISNUMBER(H51),H51&gt;=DATE(YEAR(TODAY()),MONTH(TODAY())-1,1),I51&lt;&gt;"",ISNUMBER(I51),I51+365&gt;=TODAY(),K51="APTO"),"✔ ACCESO PERMITIDO","✘ SIN ACCESO")</f>
        <v/>
      </c>
      <c r="M51" s="12" t="n"/>
      <c r="N51" s="12" t="n"/>
      <c r="O51" s="12" t="n"/>
      <c r="P51" s="12" t="n"/>
      <c r="Q51" s="12" t="n"/>
      <c r="R51" s="12" t="n"/>
      <c r="S51" s="11" t="n"/>
    </row>
    <row r="52" ht="19.5" customHeight="1">
      <c r="A52" s="10" t="n">
        <v>47</v>
      </c>
      <c r="B52" s="11" t="n"/>
      <c r="C52" s="11" t="n"/>
      <c r="D52" s="11" t="n"/>
      <c r="E52" s="11" t="n"/>
      <c r="F52" s="12" t="n"/>
      <c r="G52" s="13">
        <f>IF(F52="","",IF(F52+365&gt;=TODAY(),"✔ Vigente","✘ Vencido"))</f>
        <v/>
      </c>
      <c r="H52" s="12" t="n"/>
      <c r="I52" s="12" t="n"/>
      <c r="J52" s="13">
        <f>IF(I52="","",IF(I52+365&gt;=TODAY(),"✔ Vigente","✘ Vencido"))</f>
        <v/>
      </c>
      <c r="K52" s="13" t="n"/>
      <c r="L52" s="14">
        <f>IF(AND(F52&lt;&gt;"",ISNUMBER(F52),F52+365&gt;=TODAY(),H52&lt;&gt;"",ISNUMBER(H52),H52&gt;=DATE(YEAR(TODAY()),MONTH(TODAY())-1,1),I52&lt;&gt;"",ISNUMBER(I52),I52+365&gt;=TODAY(),K52="APTO"),"✔ ACCESO PERMITIDO","✘ SIN ACCESO")</f>
        <v/>
      </c>
      <c r="M52" s="12" t="n"/>
      <c r="N52" s="12" t="n"/>
      <c r="O52" s="12" t="n"/>
      <c r="P52" s="12" t="n"/>
      <c r="Q52" s="12" t="n"/>
      <c r="R52" s="12" t="n"/>
      <c r="S52" s="11" t="n"/>
    </row>
    <row r="53" ht="19.5" customHeight="1">
      <c r="A53" s="15" t="n">
        <v>48</v>
      </c>
      <c r="B53" s="11" t="n"/>
      <c r="C53" s="11" t="n"/>
      <c r="D53" s="11" t="n"/>
      <c r="E53" s="11" t="n"/>
      <c r="F53" s="12" t="n"/>
      <c r="G53" s="13">
        <f>IF(F53="","",IF(F53+365&gt;=TODAY(),"✔ Vigente","✘ Vencido"))</f>
        <v/>
      </c>
      <c r="H53" s="12" t="n"/>
      <c r="I53" s="12" t="n"/>
      <c r="J53" s="13">
        <f>IF(I53="","",IF(I53+365&gt;=TODAY(),"✔ Vigente","✘ Vencido"))</f>
        <v/>
      </c>
      <c r="K53" s="13" t="n"/>
      <c r="L53" s="16">
        <f>IF(AND(F53&lt;&gt;"",ISNUMBER(F53),F53+365&gt;=TODAY(),H53&lt;&gt;"",ISNUMBER(H53),H53&gt;=DATE(YEAR(TODAY()),MONTH(TODAY())-1,1),I53&lt;&gt;"",ISNUMBER(I53),I53+365&gt;=TODAY(),K53="APTO"),"✔ ACCESO PERMITIDO","✘ SIN ACCESO")</f>
        <v/>
      </c>
      <c r="M53" s="12" t="n"/>
      <c r="N53" s="12" t="n"/>
      <c r="O53" s="12" t="n"/>
      <c r="P53" s="12" t="n"/>
      <c r="Q53" s="12" t="n"/>
      <c r="R53" s="12" t="n"/>
      <c r="S53" s="11" t="n"/>
    </row>
    <row r="54" ht="19.5" customHeight="1">
      <c r="A54" s="10" t="n">
        <v>49</v>
      </c>
      <c r="B54" s="11" t="n"/>
      <c r="C54" s="11" t="n"/>
      <c r="D54" s="11" t="n"/>
      <c r="E54" s="11" t="n"/>
      <c r="F54" s="12" t="n"/>
      <c r="G54" s="13">
        <f>IF(F54="","",IF(F54+365&gt;=TODAY(),"✔ Vigente","✘ Vencido"))</f>
        <v/>
      </c>
      <c r="H54" s="12" t="n"/>
      <c r="I54" s="12" t="n"/>
      <c r="J54" s="13">
        <f>IF(I54="","",IF(I54+365&gt;=TODAY(),"✔ Vigente","✘ Vencido"))</f>
        <v/>
      </c>
      <c r="K54" s="13" t="n"/>
      <c r="L54" s="14">
        <f>IF(AND(F54&lt;&gt;"",ISNUMBER(F54),F54+365&gt;=TODAY(),H54&lt;&gt;"",ISNUMBER(H54),H54&gt;=DATE(YEAR(TODAY()),MONTH(TODAY())-1,1),I54&lt;&gt;"",ISNUMBER(I54),I54+365&gt;=TODAY(),K54="APTO"),"✔ ACCESO PERMITIDO","✘ SIN ACCESO")</f>
        <v/>
      </c>
      <c r="M54" s="12" t="n"/>
      <c r="N54" s="12" t="n"/>
      <c r="O54" s="12" t="n"/>
      <c r="P54" s="12" t="n"/>
      <c r="Q54" s="12" t="n"/>
      <c r="R54" s="12" t="n"/>
      <c r="S54" s="11" t="n"/>
    </row>
    <row r="55" ht="19.5" customHeight="1">
      <c r="A55" s="15" t="n">
        <v>50</v>
      </c>
      <c r="B55" s="11" t="n"/>
      <c r="C55" s="11" t="n"/>
      <c r="D55" s="11" t="n"/>
      <c r="E55" s="11" t="n"/>
      <c r="F55" s="12" t="n"/>
      <c r="G55" s="13">
        <f>IF(F55="","",IF(F55+365&gt;=TODAY(),"✔ Vigente","✘ Vencido"))</f>
        <v/>
      </c>
      <c r="H55" s="12" t="n"/>
      <c r="I55" s="12" t="n"/>
      <c r="J55" s="13">
        <f>IF(I55="","",IF(I55+365&gt;=TODAY(),"✔ Vigente","✘ Vencido"))</f>
        <v/>
      </c>
      <c r="K55" s="13" t="n"/>
      <c r="L55" s="16">
        <f>IF(AND(F55&lt;&gt;"",ISNUMBER(F55),F55+365&gt;=TODAY(),H55&lt;&gt;"",ISNUMBER(H55),H55&gt;=DATE(YEAR(TODAY()),MONTH(TODAY())-1,1),I55&lt;&gt;"",ISNUMBER(I55),I55+365&gt;=TODAY(),K55="APTO"),"✔ ACCESO PERMITIDO","✘ SIN ACCESO")</f>
        <v/>
      </c>
      <c r="M55" s="12" t="n"/>
      <c r="N55" s="12" t="n"/>
      <c r="O55" s="12" t="n"/>
      <c r="P55" s="12" t="n"/>
      <c r="Q55" s="12" t="n"/>
      <c r="R55" s="12" t="n"/>
      <c r="S55" s="11" t="n"/>
    </row>
  </sheetData>
  <autoFilter ref="A5:Q5"/>
  <mergeCells count="6">
    <mergeCell ref="C1:Q1"/>
    <mergeCell ref="A4:Q4"/>
    <mergeCell ref="A3:J3"/>
    <mergeCell ref="K3:Q3"/>
    <mergeCell ref="A2:Q2"/>
    <mergeCell ref="A1:B1"/>
  </mergeCells>
  <conditionalFormatting sqref="F6:F55">
    <cfRule type="expression" priority="6" dxfId="2">
      <formula>AND(F6&lt;&gt;"",ISNUMBER(F6),F6&lt;TODAY())</formula>
    </cfRule>
    <cfRule type="expression" priority="7" dxfId="1">
      <formula>AND(F6&lt;&gt;"",ISNUMBER(F6),F6&gt;=TODAY(),F6&lt;=TODAY()+30)</formula>
    </cfRule>
    <cfRule type="expression" priority="8" dxfId="0">
      <formula>AND(F6&lt;&gt;"",ISNUMBER(F6),F6&gt;TODAY()+30)</formula>
    </cfRule>
  </conditionalFormatting>
  <conditionalFormatting sqref="G6:G55">
    <cfRule type="expression" priority="30" dxfId="2">
      <formula>AND(G6&lt;&gt;"",ISNUMBER(G6),G6&lt;DATE(YEAR(TODAY()),MONTH(TODAY())-1,1))</formula>
    </cfRule>
    <cfRule type="expression" priority="31" dxfId="0">
      <formula>AND(G6&lt;&gt;"",ISNUMBER(G6),G6&gt;=DATE(YEAR(TODAY()),MONTH(TODAY())-1,1))</formula>
    </cfRule>
  </conditionalFormatting>
  <conditionalFormatting sqref="H6:H55">
    <cfRule type="expression" priority="9" dxfId="2">
      <formula>AND(H6&lt;&gt;"",ISNUMBER(H6),H6&lt;TODAY())</formula>
    </cfRule>
    <cfRule type="expression" priority="10" dxfId="1">
      <formula>AND(H6&lt;&gt;"",ISNUMBER(H6),H6&gt;=TODAY(),H6&lt;=TODAY()+30)</formula>
    </cfRule>
    <cfRule type="expression" priority="11" dxfId="0">
      <formula>AND(H6&lt;&gt;"",ISNUMBER(H6),H6&gt;TODAY()+30)</formula>
    </cfRule>
  </conditionalFormatting>
  <conditionalFormatting sqref="I6:I55">
    <cfRule type="cellIs" priority="4" operator="equal" dxfId="4">
      <formula>"APTO"</formula>
    </cfRule>
    <cfRule type="cellIs" priority="5" operator="equal" dxfId="3">
      <formula>"NO APTO"</formula>
    </cfRule>
  </conditionalFormatting>
  <conditionalFormatting sqref="J6:J55">
    <cfRule type="cellIs" priority="2" operator="equal" dxfId="4">
      <formula>"✔ ACCESO PERMITIDO"</formula>
    </cfRule>
    <cfRule type="cellIs" priority="3" operator="equal" dxfId="3">
      <formula>"✘ SIN ACCESO"</formula>
    </cfRule>
  </conditionalFormatting>
  <conditionalFormatting sqref="K6:P55">
    <cfRule type="expression" priority="12" dxfId="2">
      <formula>AND(K6&lt;&gt;"",ISNUMBER(K6),K6&lt;TODAY())</formula>
    </cfRule>
    <cfRule type="expression" priority="13" dxfId="1">
      <formula>AND(K6&lt;&gt;"",ISNUMBER(K6),K6&gt;=TODAY(),K6&lt;=TODAY()+30)</formula>
    </cfRule>
    <cfRule type="expression" priority="14" dxfId="0">
      <formula>AND(K6&lt;&gt;"",ISNUMBER(K6),K6&gt;TODAY()+30)</formula>
    </cfRule>
  </conditionalFormatting>
  <dataValidations count="1">
    <dataValidation sqref="D6:D55" showDropDown="0" showInputMessage="0" showErrorMessage="0" allowBlank="1" type="list">
      <formula1>'MAESTRO EMPRESAS'!$B$3:$B$23</formula1>
    </dataValidation>
  </dataValidations>
  <pageMargins left="0.75" right="0.75" top="1" bottom="1" header="0.511811023622047" footer="0.511811023622047"/>
  <pageSetup orientation="landscape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Normal="100" workbookViewId="0">
      <selection activeCell="A1" sqref="A1"/>
    </sheetView>
  </sheetViews>
  <sheetFormatPr baseColWidth="10" defaultColWidth="8.6328125" defaultRowHeight="14.5"/>
  <cols>
    <col width="6" customWidth="1" min="1" max="1"/>
    <col width="40" customWidth="1" min="2" max="2"/>
    <col width="28" customWidth="1" min="3" max="3"/>
    <col width="14" customWidth="1" min="4" max="4"/>
  </cols>
  <sheetData>
    <row r="1" ht="54.75" customHeight="1">
      <c r="A1" s="1" t="inlineStr">
        <is>
          <t>PLANTABAL S.A. — Lista Maestra de Empresas Contratistas</t>
        </is>
      </c>
    </row>
    <row r="2" ht="21.75" customHeight="1">
      <c r="A2" s="17" t="inlineStr">
        <is>
          <t>N°</t>
        </is>
      </c>
      <c r="B2" s="17" t="inlineStr">
        <is>
          <t>Nombre de la Empresa / Contratista</t>
        </is>
      </c>
      <c r="C2" s="17" t="inlineStr">
        <is>
          <t>Encargado / Representante</t>
        </is>
      </c>
      <c r="D2" s="17" t="inlineStr">
        <is>
          <t>Estado</t>
        </is>
      </c>
    </row>
    <row r="3" ht="18" customHeight="1">
      <c r="A3" s="18" t="n">
        <v>1</v>
      </c>
      <c r="B3" s="19" t="inlineStr">
        <is>
          <t>FRANKMETAL S.A.S.</t>
        </is>
      </c>
      <c r="C3" s="19" t="inlineStr">
        <is>
          <t>Francisco Macías</t>
        </is>
      </c>
      <c r="D3" s="19" t="inlineStr">
        <is>
          <t>Activa</t>
        </is>
      </c>
    </row>
    <row r="4" ht="18" customHeight="1">
      <c r="A4" s="20" t="n">
        <v>2</v>
      </c>
      <c r="B4" s="21" t="inlineStr">
        <is>
          <t>Industrias Don Quiño</t>
        </is>
      </c>
      <c r="C4" s="21" t="inlineStr">
        <is>
          <t>Dailer Quiñonez</t>
        </is>
      </c>
      <c r="D4" s="21" t="inlineStr">
        <is>
          <t>Activa</t>
        </is>
      </c>
    </row>
    <row r="5" ht="18" customHeight="1">
      <c r="A5" s="18" t="n">
        <v>3</v>
      </c>
      <c r="B5" s="19" t="inlineStr">
        <is>
          <t>Taller industrial Don Remigio</t>
        </is>
      </c>
      <c r="C5" s="19" t="inlineStr">
        <is>
          <t>Remigio Chalacama</t>
        </is>
      </c>
      <c r="D5" s="19" t="inlineStr">
        <is>
          <t>Activa</t>
        </is>
      </c>
    </row>
    <row r="6" ht="18" customHeight="1">
      <c r="A6" s="20" t="n">
        <v>4</v>
      </c>
      <c r="B6" s="21" t="inlineStr">
        <is>
          <t>MP - Servicios profesionales</t>
        </is>
      </c>
      <c r="C6" s="21" t="inlineStr">
        <is>
          <t>Michael Pallo</t>
        </is>
      </c>
      <c r="D6" s="21" t="inlineStr">
        <is>
          <t>Activa</t>
        </is>
      </c>
    </row>
    <row r="7" ht="18" customHeight="1">
      <c r="A7" s="18" t="n">
        <v>5</v>
      </c>
      <c r="B7" s="19" t="inlineStr">
        <is>
          <t>Jonny Lam</t>
        </is>
      </c>
      <c r="C7" s="19" t="inlineStr">
        <is>
          <t>Jonny Lam</t>
        </is>
      </c>
      <c r="D7" s="19" t="inlineStr">
        <is>
          <t>Activa</t>
        </is>
      </c>
    </row>
    <row r="8" ht="18" customHeight="1">
      <c r="A8" s="20" t="n">
        <v>6</v>
      </c>
      <c r="B8" s="21" t="inlineStr">
        <is>
          <t>Víctor Volibar Andrade Calderón</t>
        </is>
      </c>
      <c r="C8" s="21" t="inlineStr">
        <is>
          <t>Víctor Volibar Andrade Calderón</t>
        </is>
      </c>
      <c r="D8" s="21" t="inlineStr">
        <is>
          <t>Activa</t>
        </is>
      </c>
    </row>
    <row r="9" ht="18" customHeight="1">
      <c r="A9" s="18" t="n">
        <v>7</v>
      </c>
      <c r="B9" s="19" t="inlineStr">
        <is>
          <t>La Llave</t>
        </is>
      </c>
      <c r="C9" s="19" t="inlineStr">
        <is>
          <t>Jorge Escobar</t>
        </is>
      </c>
      <c r="D9" s="19" t="inlineStr">
        <is>
          <t>Activa</t>
        </is>
      </c>
    </row>
    <row r="10" ht="18" customHeight="1">
      <c r="A10" s="20" t="n">
        <v>8</v>
      </c>
      <c r="B10" s="21" t="inlineStr">
        <is>
          <t>Firewall</t>
        </is>
      </c>
      <c r="C10" s="21" t="inlineStr">
        <is>
          <t>Wilson Pastuisaca</t>
        </is>
      </c>
      <c r="D10" s="21" t="inlineStr">
        <is>
          <t>Activa</t>
        </is>
      </c>
    </row>
    <row r="11" ht="18" customHeight="1">
      <c r="A11" s="18" t="n">
        <v>9</v>
      </c>
      <c r="B11" s="19" t="inlineStr">
        <is>
          <t>Taller industrial Asimbaya</t>
        </is>
      </c>
      <c r="C11" s="19" t="inlineStr">
        <is>
          <t>José Asimbaya</t>
        </is>
      </c>
      <c r="D11" s="19" t="inlineStr">
        <is>
          <t>Activa</t>
        </is>
      </c>
    </row>
    <row r="12" ht="18" customHeight="1">
      <c r="A12" s="20" t="n">
        <v>10</v>
      </c>
      <c r="B12" s="21" t="inlineStr">
        <is>
          <t>Taller industrial Chávez</t>
        </is>
      </c>
      <c r="C12" s="21" t="inlineStr">
        <is>
          <t>Cristian Chávez</t>
        </is>
      </c>
      <c r="D12" s="21" t="inlineStr">
        <is>
          <t>Activa</t>
        </is>
      </c>
    </row>
    <row r="13" ht="18" customHeight="1">
      <c r="A13" s="18" t="n">
        <v>11</v>
      </c>
      <c r="B13" s="19" t="inlineStr">
        <is>
          <t>Proinseg</t>
        </is>
      </c>
      <c r="C13" s="19" t="inlineStr">
        <is>
          <t>Juan Barrionuevo</t>
        </is>
      </c>
      <c r="D13" s="19" t="inlineStr">
        <is>
          <t>Activa</t>
        </is>
      </c>
    </row>
    <row r="14" ht="18" customHeight="1">
      <c r="A14" s="20" t="n">
        <v>12</v>
      </c>
      <c r="B14" s="21" t="inlineStr">
        <is>
          <t>Frío Aycart</t>
        </is>
      </c>
      <c r="C14" s="21" t="inlineStr">
        <is>
          <t>Yordan Aycart</t>
        </is>
      </c>
      <c r="D14" s="21" t="inlineStr">
        <is>
          <t>Activa</t>
        </is>
      </c>
    </row>
    <row r="15" ht="18" customHeight="1">
      <c r="A15" s="18" t="n">
        <v>13</v>
      </c>
      <c r="B15" s="19" t="inlineStr">
        <is>
          <t>Sosa</t>
        </is>
      </c>
      <c r="C15" s="19" t="inlineStr">
        <is>
          <t>Carlos Sosa</t>
        </is>
      </c>
      <c r="D15" s="19" t="inlineStr">
        <is>
          <t>Activa</t>
        </is>
      </c>
    </row>
    <row r="16" ht="18" customHeight="1">
      <c r="A16" s="20" t="n">
        <v>14</v>
      </c>
      <c r="B16" s="21" t="inlineStr">
        <is>
          <t>Meta technologie</t>
        </is>
      </c>
      <c r="C16" s="21" t="inlineStr">
        <is>
          <t>Ricardo Burbano</t>
        </is>
      </c>
      <c r="D16" s="21" t="inlineStr">
        <is>
          <t>Activa</t>
        </is>
      </c>
    </row>
    <row r="17" ht="18" customHeight="1">
      <c r="A17" s="18" t="n">
        <v>15</v>
      </c>
      <c r="B17" s="19" t="inlineStr">
        <is>
          <t>Wilmer Salazar</t>
        </is>
      </c>
      <c r="C17" s="19" t="inlineStr">
        <is>
          <t>Wilmer Salazar</t>
        </is>
      </c>
      <c r="D17" s="19" t="inlineStr">
        <is>
          <t>Activa</t>
        </is>
      </c>
    </row>
    <row r="18" ht="18" customHeight="1">
      <c r="A18" s="20" t="n">
        <v>16</v>
      </c>
      <c r="B18" s="21" t="inlineStr">
        <is>
          <t>Oselecsa</t>
        </is>
      </c>
      <c r="C18" s="21" t="n"/>
      <c r="D18" s="21" t="inlineStr">
        <is>
          <t>Activa</t>
        </is>
      </c>
    </row>
    <row r="19" ht="18" customHeight="1">
      <c r="A19" s="18" t="n">
        <v>17</v>
      </c>
      <c r="B19" s="19" t="inlineStr">
        <is>
          <t>ISEP</t>
        </is>
      </c>
      <c r="C19" s="19" t="inlineStr">
        <is>
          <t>Emiliano Crespo</t>
        </is>
      </c>
      <c r="D19" s="19" t="inlineStr">
        <is>
          <t>Activa</t>
        </is>
      </c>
    </row>
    <row r="20" ht="18" customHeight="1">
      <c r="A20" s="20" t="n">
        <v>18</v>
      </c>
      <c r="B20" s="21" t="inlineStr">
        <is>
          <t>JC</t>
        </is>
      </c>
      <c r="C20" s="21" t="inlineStr">
        <is>
          <t>Jonathan Cedeño</t>
        </is>
      </c>
      <c r="D20" s="21" t="inlineStr">
        <is>
          <t>Activa</t>
        </is>
      </c>
    </row>
    <row r="21" ht="18" customHeight="1">
      <c r="A21" s="18" t="n">
        <v>19</v>
      </c>
      <c r="B21" s="19" t="inlineStr">
        <is>
          <t>Julio Cano</t>
        </is>
      </c>
      <c r="C21" s="19" t="inlineStr">
        <is>
          <t>Julio Cano</t>
        </is>
      </c>
      <c r="D21" s="19" t="inlineStr">
        <is>
          <t>Activa</t>
        </is>
      </c>
    </row>
    <row r="22" ht="18" customHeight="1">
      <c r="A22" s="20" t="n">
        <v>20</v>
      </c>
      <c r="B22" s="21" t="inlineStr">
        <is>
          <t>ISMI</t>
        </is>
      </c>
      <c r="C22" s="21" t="inlineStr">
        <is>
          <t>Borys Jonathan Palma Tasinchano</t>
        </is>
      </c>
      <c r="D22" s="21" t="inlineStr">
        <is>
          <t>Activa</t>
        </is>
      </c>
    </row>
    <row r="23" ht="18" customHeight="1">
      <c r="A23" s="18" t="n">
        <v>21</v>
      </c>
      <c r="B23" s="19" t="inlineStr">
        <is>
          <t>ASOSERLIMFESA</t>
        </is>
      </c>
      <c r="C23" s="19" t="inlineStr">
        <is>
          <t>Quishpe Calderón Edison Angel</t>
        </is>
      </c>
      <c r="D23" s="19" t="inlineStr">
        <is>
          <t>Activa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2026-10-28T15:14:10Z</dcterms:created>
  <dcterms:modified xmlns:dcterms="http://purl.org/dc/terms/" xmlns:xsi="http://www.w3.org/2001/XMLSchema-instance" xsi:type="dcterms:W3CDTF">2026-10-29T15:02:21Z</dcterms:modified>
  <cp:lastModifiedBy>Joel Campuzano</cp:lastModifiedBy>
  <cp:revision>0</cp:revision>
</cp:coreProperties>
</file>